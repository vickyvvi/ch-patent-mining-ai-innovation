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60" windowHeight="11120"/>
  </bookViews>
  <sheets>
    <sheet name="selected" sheetId="1" r:id="rId1"/>
  </sheets>
  <externalReferences>
    <externalReference r:id="rId2"/>
  </externalReferences>
  <definedNames>
    <definedName name="_xlnm._FilterDatabase" localSheetId="0" hidden="1">selected!$A$1:$AM$680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<sst xmlns="http://schemas.openxmlformats.org/spreadsheetml/2006/main" count="1947" uniqueCount="216">
  <si>
    <t>industry</t>
  </si>
  <si>
    <t>company name</t>
  </si>
  <si>
    <t>year</t>
  </si>
  <si>
    <t>R&amp;D Expenditure
($million)</t>
  </si>
  <si>
    <t>total revenue
($million)</t>
  </si>
  <si>
    <t>R&amp;D Intensity
(R&amp;D Expenditure/total revenue × 100%)</t>
  </si>
  <si>
    <t>total liabilities
($ million)</t>
  </si>
  <si>
    <t>total assets
($ million)</t>
  </si>
  <si>
    <t>Lev
(Total liabilities divided by total assets × 100%)</t>
  </si>
  <si>
    <t>PP&amp;E
($ million)</t>
  </si>
  <si>
    <t>PPER
(PP&amp;E divided by total assets × 100%)</t>
  </si>
  <si>
    <t>Net profit after tax
($ million)</t>
  </si>
  <si>
    <t>ROA
(Net profit after tax divided by total assets × 100%)</t>
  </si>
  <si>
    <t>firm size
(Number of employees at year-end)</t>
  </si>
  <si>
    <t>firm age
(established year)</t>
  </si>
  <si>
    <t>artificial intelligence_occurrences</t>
  </si>
  <si>
    <t>machine learning_occurrences</t>
  </si>
  <si>
    <t>deep learning_occurrences</t>
  </si>
  <si>
    <t>ai_occurrences</t>
  </si>
  <si>
    <t>big data_occurrences</t>
  </si>
  <si>
    <t>data driven_occurrences</t>
  </si>
  <si>
    <t>data analytics_occurrences</t>
  </si>
  <si>
    <t>data analysis_occurrences</t>
  </si>
  <si>
    <t>business analytics_occurrences</t>
  </si>
  <si>
    <t>business analysis_occurrences</t>
  </si>
  <si>
    <t>intelligent automation_occurrences</t>
  </si>
  <si>
    <t>computer vision_occurrences</t>
  </si>
  <si>
    <t>predictive analytics_occurrences</t>
  </si>
  <si>
    <t>predictive analysis_occurrences</t>
  </si>
  <si>
    <t>robotics_occurrences</t>
  </si>
  <si>
    <t>Total keywords occurrences</t>
  </si>
  <si>
    <t>Total words</t>
  </si>
  <si>
    <t>ai_frequency</t>
  </si>
  <si>
    <t>patents_number</t>
  </si>
  <si>
    <t>Patent citations_sum</t>
  </si>
  <si>
    <t>Cited By_sum</t>
  </si>
  <si>
    <t>3M Company</t>
  </si>
  <si>
    <t>2014</t>
  </si>
  <si>
    <t>1902</t>
  </si>
  <si>
    <t>2015</t>
  </si>
  <si>
    <t>2016</t>
  </si>
  <si>
    <t>2017</t>
  </si>
  <si>
    <t>2018</t>
  </si>
  <si>
    <t>2019</t>
  </si>
  <si>
    <t>2020</t>
  </si>
  <si>
    <t>2021</t>
  </si>
  <si>
    <t>ABB Ltd</t>
  </si>
  <si>
    <t>1883</t>
  </si>
  <si>
    <t>2022</t>
  </si>
  <si>
    <t>Abbott Laboratories</t>
  </si>
  <si>
    <t>1888</t>
  </si>
  <si>
    <t>Adval Tech Holding AG</t>
  </si>
  <si>
    <t>1924</t>
  </si>
  <si>
    <t>Alcon Inc.</t>
  </si>
  <si>
    <t>1945</t>
  </si>
  <si>
    <t>ams-OSRAM AG</t>
  </si>
  <si>
    <t>1981</t>
  </si>
  <si>
    <t>Arbonia AG</t>
  </si>
  <si>
    <t>1874</t>
  </si>
  <si>
    <t>Autoneum Holding AG</t>
  </si>
  <si>
    <t>1901</t>
  </si>
  <si>
    <t>Bachem Holding AG</t>
  </si>
  <si>
    <t>1971</t>
  </si>
  <si>
    <t>BELIMO Holding AG</t>
  </si>
  <si>
    <t>1975</t>
  </si>
  <si>
    <t>BKW AG</t>
  </si>
  <si>
    <t>1898</t>
  </si>
  <si>
    <t>Bossard Holding AG</t>
  </si>
  <si>
    <t>1831</t>
  </si>
  <si>
    <t>Bucher Industries AG</t>
  </si>
  <si>
    <t>1807</t>
  </si>
  <si>
    <t>2023</t>
  </si>
  <si>
    <t>Burckhardt Compression Holding AG</t>
  </si>
  <si>
    <t>1844</t>
  </si>
  <si>
    <t>Bystronic AG</t>
  </si>
  <si>
    <t>1912</t>
  </si>
  <si>
    <t>Caterpillar Inc.</t>
  </si>
  <si>
    <t>1925</t>
  </si>
  <si>
    <t>Clariant AG</t>
  </si>
  <si>
    <t>1886</t>
  </si>
  <si>
    <t>Comet Holding AG</t>
  </si>
  <si>
    <t>1948</t>
  </si>
  <si>
    <t>Compagnie de Saint-Gobain</t>
  </si>
  <si>
    <t>1665</t>
  </si>
  <si>
    <t>Compagnie Financière Richemont SA</t>
  </si>
  <si>
    <t>1979</t>
  </si>
  <si>
    <t>dormakaba Holding AG</t>
  </si>
  <si>
    <t>1862</t>
  </si>
  <si>
    <t>Eli Lilly and Company</t>
  </si>
  <si>
    <t>1876</t>
  </si>
  <si>
    <t>Ems-Chemie Holding AG</t>
  </si>
  <si>
    <t>1936</t>
  </si>
  <si>
    <t>Feintool International Holding AG</t>
  </si>
  <si>
    <t>1959</t>
  </si>
  <si>
    <t>Forbo Holding AG</t>
  </si>
  <si>
    <t>1928</t>
  </si>
  <si>
    <t>Geberit AG</t>
  </si>
  <si>
    <t>Georg Fischer AG</t>
  </si>
  <si>
    <t>1802</t>
  </si>
  <si>
    <t>Givaudan SA</t>
  </si>
  <si>
    <t>1796</t>
  </si>
  <si>
    <t>Goodyear Tire &amp; Rubber Company</t>
  </si>
  <si>
    <t>Gurit Holding AG</t>
  </si>
  <si>
    <t>1835</t>
  </si>
  <si>
    <t>Holcim Ltd</t>
  </si>
  <si>
    <t>1833</t>
  </si>
  <si>
    <t>Huber+Suhner AG</t>
  </si>
  <si>
    <t>1864</t>
  </si>
  <si>
    <t>Idorsia Ltd</t>
  </si>
  <si>
    <t>INFICON HOLDING AG</t>
  </si>
  <si>
    <t>2000</t>
  </si>
  <si>
    <t>Interroll Holding AG</t>
  </si>
  <si>
    <t>IVF HARTMANN Holding AG</t>
  </si>
  <si>
    <t>Klingelnberg AG</t>
  </si>
  <si>
    <t>1863</t>
  </si>
  <si>
    <t>Komax Holding AG</t>
  </si>
  <si>
    <t>Kudelski S.A.</t>
  </si>
  <si>
    <t>1951</t>
  </si>
  <si>
    <t>Landis+Gyr Group AG</t>
  </si>
  <si>
    <t>1896</t>
  </si>
  <si>
    <t>Lepu Medical Tech.Co.,Ltd</t>
  </si>
  <si>
    <t>1999</t>
  </si>
  <si>
    <t>1988</t>
  </si>
  <si>
    <t>Logitech International S.A.</t>
  </si>
  <si>
    <t>Lonza Group AG</t>
  </si>
  <si>
    <t>1897</t>
  </si>
  <si>
    <t>Medacta Group SA</t>
  </si>
  <si>
    <t>1958</t>
  </si>
  <si>
    <t>Medartis Holding AG</t>
  </si>
  <si>
    <t>1997</t>
  </si>
  <si>
    <t>medmix AG</t>
  </si>
  <si>
    <t>1922</t>
  </si>
  <si>
    <t>Metall Zug AG</t>
  </si>
  <si>
    <t>1887</t>
  </si>
  <si>
    <t>Meyer Burger Technology AG</t>
  </si>
  <si>
    <t>1953</t>
  </si>
  <si>
    <t>Mikron Holding AG</t>
  </si>
  <si>
    <t>1908</t>
  </si>
  <si>
    <t>Nestlé S.A.</t>
  </si>
  <si>
    <t>1866</t>
  </si>
  <si>
    <t>NIBE Industrier AB</t>
  </si>
  <si>
    <t>1949</t>
  </si>
  <si>
    <t>Novartis AG</t>
  </si>
  <si>
    <t>1996</t>
  </si>
  <si>
    <t>OC Oerlikon Corporation AG</t>
  </si>
  <si>
    <t>1907</t>
  </si>
  <si>
    <t>PepsiCo Inc.</t>
  </si>
  <si>
    <t>Philip Morris International Inc</t>
  </si>
  <si>
    <t>1987</t>
  </si>
  <si>
    <t>Phoenix Mecano AG</t>
  </si>
  <si>
    <t>PIERER Mobility AG</t>
  </si>
  <si>
    <t>Rieter Holding AG</t>
  </si>
  <si>
    <t>1795</t>
  </si>
  <si>
    <t>Roche Holding AG</t>
  </si>
  <si>
    <t>Sandoz Group AG</t>
  </si>
  <si>
    <t>Schlatter Industries AG</t>
  </si>
  <si>
    <t>1916</t>
  </si>
  <si>
    <t>Schweiter Technologies AG</t>
  </si>
  <si>
    <t>Sensirion Holding AG</t>
  </si>
  <si>
    <t>1998</t>
  </si>
  <si>
    <t>SFS Group AG</t>
  </si>
  <si>
    <t>Siegfried Holding AG</t>
  </si>
  <si>
    <t>1873</t>
  </si>
  <si>
    <t>SIG Group Ltd</t>
  </si>
  <si>
    <t>1853</t>
  </si>
  <si>
    <t>Sika AG</t>
  </si>
  <si>
    <t>1910</t>
  </si>
  <si>
    <t>Sonova Holding AG</t>
  </si>
  <si>
    <t>1947</t>
  </si>
  <si>
    <t>Stadler Rail AG</t>
  </si>
  <si>
    <t>1942</t>
  </si>
  <si>
    <t>StarragTornos Group AG</t>
  </si>
  <si>
    <t>1885</t>
  </si>
  <si>
    <t>Straumann Holding AG</t>
  </si>
  <si>
    <t>1954</t>
  </si>
  <si>
    <t>Sulzer AG</t>
  </si>
  <si>
    <t>1834</t>
  </si>
  <si>
    <t>Swiss Steel Holding AG</t>
  </si>
  <si>
    <t>Swisscom AG</t>
  </si>
  <si>
    <t>Tecan Group AG</t>
  </si>
  <si>
    <t>1980</t>
  </si>
  <si>
    <t>The Swatch Group AG</t>
  </si>
  <si>
    <t>1983</t>
  </si>
  <si>
    <t>u-blox Holding AG</t>
  </si>
  <si>
    <t>V-ZUG Holding AG</t>
  </si>
  <si>
    <t>1913</t>
  </si>
  <si>
    <t>WISeKey International Holding Ltd</t>
  </si>
  <si>
    <t>Ypsomed Holding AG</t>
  </si>
  <si>
    <t>1984</t>
  </si>
  <si>
    <t>Zehnder Group AG</t>
  </si>
  <si>
    <t>1895</t>
  </si>
  <si>
    <t>Zimmer Biomet Holdings Inc.</t>
  </si>
  <si>
    <t>1927</t>
  </si>
  <si>
    <t>Addex Therapeutics Ltd</t>
  </si>
  <si>
    <t>2002</t>
  </si>
  <si>
    <t>Anglo American plc</t>
  </si>
  <si>
    <t>1917</t>
  </si>
  <si>
    <t>Ascom Holding AG</t>
  </si>
  <si>
    <t>Calida Holding AG</t>
  </si>
  <si>
    <t>1941</t>
  </si>
  <si>
    <t>COSMO Pharmaceuticals N.V.</t>
  </si>
  <si>
    <t>Emmi AG</t>
  </si>
  <si>
    <t>Evolva Holding SA</t>
  </si>
  <si>
    <t>2004</t>
  </si>
  <si>
    <t>Gotion High-Tech Co., Ltd.</t>
  </si>
  <si>
    <t>1995</t>
  </si>
  <si>
    <t>1970</t>
  </si>
  <si>
    <t>1992</t>
  </si>
  <si>
    <t>1982</t>
  </si>
  <si>
    <t>1990</t>
  </si>
  <si>
    <t>Kardex Holding AG</t>
  </si>
  <si>
    <t>Kuros Biosciences Ltd.</t>
  </si>
  <si>
    <t>Molecular Partners AG</t>
  </si>
  <si>
    <t>Newron Pharmaceuticals S.p.A.</t>
  </si>
  <si>
    <t>UBS Group AG</t>
  </si>
  <si>
    <t>Xlife Sciences 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</si>
</sst>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\(#,##0.00\)"/>
    <numFmt numFmtId="177" formatCode="#,##0_);\(#,##0\)"/>
    <numFmt numFmtId="178" formatCode="0.0000000%"/>
    <numFmt numFmtId="179" formatCode="0.0000000000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9" tint="-0.25"/>
      <name val="宋体"/>
      <charset val="134"/>
      <scheme val="minor"/>
    </font>
    <font>
      <sz val="11"/>
      <color rgb="FF1E1EF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176" fontId="1" fillId="0" borderId="1" xfId="0" applyNumberFormat="1" applyFont="1" applyBorder="1">
      <alignment vertical="center"/>
    </xf>
    <xf numFmtId="10" fontId="1" fillId="0" borderId="1" xfId="0" applyNumberFormat="1" applyFont="1" applyBorder="1">
      <alignment vertical="center"/>
    </xf>
    <xf numFmtId="177" fontId="1" fillId="0" borderId="1" xfId="0" applyNumberFormat="1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left" vertical="center"/>
    </xf>
    <xf numFmtId="176" fontId="1" fillId="0" borderId="1" xfId="0" applyNumberFormat="1" applyFont="1" applyFill="1" applyBorder="1">
      <alignment vertical="center"/>
    </xf>
    <xf numFmtId="10" fontId="1" fillId="0" borderId="1" xfId="3" applyNumberFormat="1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left" vertical="center"/>
    </xf>
    <xf numFmtId="176" fontId="0" fillId="0" borderId="1" xfId="0" applyNumberFormat="1" applyFill="1" applyBorder="1">
      <alignment vertical="center"/>
    </xf>
    <xf numFmtId="177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0" fontId="1" fillId="0" borderId="1" xfId="0" applyNumberFormat="1" applyFont="1" applyFill="1" applyBorder="1">
      <alignment vertical="center"/>
    </xf>
    <xf numFmtId="177" fontId="1" fillId="0" borderId="1" xfId="0" applyNumberFormat="1" applyFont="1" applyFill="1" applyBorder="1">
      <alignment vertical="center"/>
    </xf>
    <xf numFmtId="3" fontId="1" fillId="0" borderId="1" xfId="0" applyNumberFormat="1" applyFont="1" applyFill="1" applyBorder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10" fontId="0" fillId="0" borderId="1" xfId="0" applyNumberFormat="1" applyFill="1" applyBorder="1">
      <alignment vertical="center"/>
    </xf>
    <xf numFmtId="177" fontId="0" fillId="0" borderId="1" xfId="0" applyNumberFormat="1" applyFill="1" applyBorder="1">
      <alignment vertical="center"/>
    </xf>
    <xf numFmtId="3" fontId="0" fillId="0" borderId="1" xfId="0" applyNumberForma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78" fontId="0" fillId="0" borderId="0" xfId="3" applyNumberFormat="1" applyFill="1">
      <alignment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left" vertical="center"/>
    </xf>
    <xf numFmtId="0" fontId="0" fillId="0" borderId="0" xfId="0" applyFill="1" applyAlignment="1"/>
    <xf numFmtId="0" fontId="0" fillId="0" borderId="0" xfId="0" applyFont="1" applyFill="1" applyAlignment="1"/>
    <xf numFmtId="179" fontId="0" fillId="0" borderId="0" xfId="0" applyNumberFormat="1" applyFill="1" applyAlignment="1"/>
    <xf numFmtId="177" fontId="0" fillId="0" borderId="0" xfId="0" applyNumberFormat="1" applyFill="1">
      <alignment vertical="center"/>
    </xf>
    <xf numFmtId="10" fontId="0" fillId="0" borderId="0" xfId="0" applyNumberFormat="1" applyFill="1">
      <alignment vertical="center"/>
    </xf>
    <xf numFmtId="3" fontId="0" fillId="0" borderId="0" xfId="0" applyNumberFormat="1" applyFill="1">
      <alignment vertical="center"/>
    </xf>
    <xf numFmtId="0" fontId="0" fillId="0" borderId="0" xfId="0" applyFill="1" applyAlignment="1">
      <alignment horizontal="center" vertical="center"/>
    </xf>
    <xf numFmtId="178" fontId="2" fillId="0" borderId="0" xfId="3" applyNumberFormat="1" applyFont="1" applyFill="1">
      <alignment vertical="center"/>
    </xf>
    <xf numFmtId="0" fontId="3" fillId="0" borderId="0" xfId="0" applyFont="1" applyFill="1" applyAlignment="1"/>
    <xf numFmtId="179" fontId="3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Moreau\Desktop\US%20seminar\&#25968;&#25454;&#25628;&#38598;\List%20of%20listed%20corp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总Listed Corps"/>
      <sheetName val="1. 最终入选的上市公司名单（完整版）"/>
      <sheetName val="平均汇率换算"/>
      <sheetName val="年报数据表（待补）"/>
      <sheetName val="⭐年报数据表（终）"/>
      <sheetName val="⭐1.筛选后上市公司专利数据（连续三年有数据+剔除收购前专利）"/>
      <sheetName val="⭐2.专利为0的年份数据"/>
      <sheetName val="⭐AI frequency（待补）"/>
      <sheetName val="Sheet9"/>
      <sheetName val="2. ISIC行业分类"/>
      <sheetName val="3. IPC专利分类+关键词选取"/>
      <sheetName val="年报数据表（待完善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A2" t="str">
            <v>3M Company</v>
          </cell>
          <cell r="B2" t="str">
            <v>C2029</v>
          </cell>
        </row>
        <row r="3">
          <cell r="A3" t="str">
            <v>ABB Ltd</v>
          </cell>
          <cell r="B3" t="str">
            <v>C2710</v>
          </cell>
        </row>
        <row r="4">
          <cell r="A4" t="str">
            <v>Abbott Laboratories</v>
          </cell>
          <cell r="B4" t="str">
            <v>C2100</v>
          </cell>
        </row>
        <row r="5">
          <cell r="A5" t="str">
            <v>Adval Tech Holding AG</v>
          </cell>
          <cell r="B5" t="str">
            <v>C2592</v>
          </cell>
        </row>
        <row r="6">
          <cell r="A6" t="str">
            <v>Alcon Inc.</v>
          </cell>
          <cell r="B6" t="str">
            <v>C2100</v>
          </cell>
        </row>
        <row r="7">
          <cell r="A7" t="str">
            <v>ams-OSRAM AG</v>
          </cell>
          <cell r="B7" t="str">
            <v>C2610</v>
          </cell>
        </row>
        <row r="8">
          <cell r="A8" t="str">
            <v>Arbonia AG</v>
          </cell>
          <cell r="B8" t="str">
            <v>C2511</v>
          </cell>
        </row>
        <row r="9">
          <cell r="A9" t="str">
            <v>Autoneum Holding AG</v>
          </cell>
          <cell r="B9" t="str">
            <v>C2932</v>
          </cell>
        </row>
        <row r="10">
          <cell r="A10" t="str">
            <v>Bachem Holding AG</v>
          </cell>
          <cell r="B10" t="str">
            <v>C2100</v>
          </cell>
        </row>
        <row r="11">
          <cell r="A11" t="str">
            <v>BELIMO Holding AG</v>
          </cell>
          <cell r="B11" t="str">
            <v>C2812</v>
          </cell>
        </row>
        <row r="12">
          <cell r="A12" t="str">
            <v>BKW AG</v>
          </cell>
          <cell r="B12" t="str">
            <v>D3510</v>
          </cell>
        </row>
        <row r="13">
          <cell r="A13" t="str">
            <v>Bossard Holding AG</v>
          </cell>
          <cell r="B13" t="str">
            <v>G4669</v>
          </cell>
        </row>
        <row r="14">
          <cell r="A14" t="str">
            <v>Bucher Industries AG</v>
          </cell>
          <cell r="B14" t="str">
            <v>C2825</v>
          </cell>
        </row>
        <row r="15">
          <cell r="A15" t="str">
            <v>Burckhardt Compression Holding AG</v>
          </cell>
          <cell r="B15" t="str">
            <v>C2813</v>
          </cell>
        </row>
        <row r="16">
          <cell r="A16" t="str">
            <v>Bystronic AG</v>
          </cell>
          <cell r="B16" t="str">
            <v>C2822</v>
          </cell>
        </row>
        <row r="17">
          <cell r="A17" t="str">
            <v>Caterpillar Inc.</v>
          </cell>
          <cell r="B17" t="str">
            <v>C2824</v>
          </cell>
        </row>
        <row r="18">
          <cell r="A18" t="str">
            <v>Clariant AG</v>
          </cell>
          <cell r="B18" t="str">
            <v>C2011</v>
          </cell>
        </row>
        <row r="19">
          <cell r="A19" t="str">
            <v>Comet Holding AG</v>
          </cell>
          <cell r="B19" t="str">
            <v>C2790</v>
          </cell>
        </row>
        <row r="20">
          <cell r="A20" t="str">
            <v>Compagnie de Saint-Gobain</v>
          </cell>
          <cell r="B20" t="str">
            <v>C2310</v>
          </cell>
        </row>
        <row r="21">
          <cell r="A21" t="str">
            <v>Compagnie Financière Richemont SA</v>
          </cell>
          <cell r="B21" t="str">
            <v>C3212</v>
          </cell>
        </row>
        <row r="22">
          <cell r="A22" t="str">
            <v>dormakaba Holding AG</v>
          </cell>
          <cell r="B22" t="str">
            <v>C2572</v>
          </cell>
        </row>
        <row r="23">
          <cell r="A23" t="str">
            <v>Eli Lilly and Company</v>
          </cell>
          <cell r="B23" t="str">
            <v>C2100</v>
          </cell>
        </row>
        <row r="24">
          <cell r="A24" t="str">
            <v>Ems-Chemie Holding AG</v>
          </cell>
          <cell r="B24" t="str">
            <v>C2013</v>
          </cell>
        </row>
        <row r="25">
          <cell r="A25" t="str">
            <v>Feintool International Holding AG</v>
          </cell>
          <cell r="B25" t="str">
            <v>C2922</v>
          </cell>
        </row>
        <row r="26">
          <cell r="A26" t="str">
            <v>Forbo Holding AG</v>
          </cell>
          <cell r="B26" t="str">
            <v>C2229</v>
          </cell>
        </row>
        <row r="27">
          <cell r="A27" t="str">
            <v>Galderma Group AG</v>
          </cell>
          <cell r="B27" t="str">
            <v>C2100</v>
          </cell>
        </row>
        <row r="28">
          <cell r="A28" t="str">
            <v>Geberit AG</v>
          </cell>
          <cell r="B28" t="str">
            <v>C2223</v>
          </cell>
        </row>
        <row r="29">
          <cell r="A29" t="str">
            <v>Georg Fischer AG</v>
          </cell>
          <cell r="B29" t="str">
            <v>C2420</v>
          </cell>
        </row>
        <row r="30">
          <cell r="A30" t="str">
            <v>Givaudan SA</v>
          </cell>
          <cell r="B30" t="str">
            <v>C2021</v>
          </cell>
        </row>
        <row r="31">
          <cell r="A31" t="str">
            <v>Goodyear Tire &amp; Rubber Company</v>
          </cell>
          <cell r="B31" t="str">
            <v>C2211</v>
          </cell>
        </row>
        <row r="32">
          <cell r="A32" t="str">
            <v>Gurit Holding AG</v>
          </cell>
          <cell r="B32" t="str">
            <v>C2221</v>
          </cell>
        </row>
        <row r="33">
          <cell r="A33" t="str">
            <v>Holcim Ltd</v>
          </cell>
          <cell r="B33" t="str">
            <v>C2394</v>
          </cell>
        </row>
        <row r="34">
          <cell r="A34" t="str">
            <v>Huber+Suhner AG</v>
          </cell>
          <cell r="B34" t="str">
            <v>C2732</v>
          </cell>
        </row>
        <row r="35">
          <cell r="A35" t="str">
            <v>Idorsia Ltd</v>
          </cell>
          <cell r="B35" t="str">
            <v>C2100</v>
          </cell>
        </row>
        <row r="36">
          <cell r="A36" t="str">
            <v>INFICON HOLDING AG</v>
          </cell>
          <cell r="B36" t="str">
            <v>C2651</v>
          </cell>
        </row>
        <row r="37">
          <cell r="A37" t="str">
            <v>Interroll Holding AG</v>
          </cell>
          <cell r="B37" t="str">
            <v>C2825</v>
          </cell>
        </row>
        <row r="38">
          <cell r="A38" t="str">
            <v>IVF HARTMANN Holding AG</v>
          </cell>
          <cell r="B38" t="str">
            <v>C2100</v>
          </cell>
        </row>
        <row r="39">
          <cell r="A39" t="str">
            <v>Klingelnberg AG</v>
          </cell>
          <cell r="B39" t="str">
            <v>C2829</v>
          </cell>
        </row>
        <row r="40">
          <cell r="A40" t="str">
            <v>Komax Holding AG</v>
          </cell>
          <cell r="B40" t="str">
            <v>C2822</v>
          </cell>
        </row>
        <row r="41">
          <cell r="A41" t="str">
            <v>Kudelski S.A.</v>
          </cell>
          <cell r="B41" t="str">
            <v>J6190</v>
          </cell>
        </row>
        <row r="42">
          <cell r="A42" t="str">
            <v>Landis+Gyr Group AG</v>
          </cell>
          <cell r="B42" t="str">
            <v>D3510</v>
          </cell>
        </row>
        <row r="43">
          <cell r="A43" t="str">
            <v>Lepu Medical Tech.Co.,Ltd</v>
          </cell>
          <cell r="B43" t="str">
            <v>C2100</v>
          </cell>
        </row>
        <row r="44">
          <cell r="A44" t="str">
            <v>Logitech International S.A.</v>
          </cell>
          <cell r="B44" t="str">
            <v>C2620</v>
          </cell>
        </row>
        <row r="45">
          <cell r="A45" t="str">
            <v>Lonza Group AG</v>
          </cell>
          <cell r="B45" t="str">
            <v>C2100</v>
          </cell>
        </row>
        <row r="46">
          <cell r="A46" t="str">
            <v>Medacta Group SA</v>
          </cell>
          <cell r="B46" t="str">
            <v>C2100</v>
          </cell>
        </row>
        <row r="47">
          <cell r="A47" t="str">
            <v>Medartis Holding AG</v>
          </cell>
          <cell r="B47" t="str">
            <v>C2100</v>
          </cell>
        </row>
        <row r="48">
          <cell r="A48" t="str">
            <v>medmix AG</v>
          </cell>
          <cell r="B48" t="str">
            <v>C3250</v>
          </cell>
        </row>
        <row r="49">
          <cell r="A49" t="str">
            <v>Metall Zug AG</v>
          </cell>
          <cell r="B49" t="str">
            <v>C2511</v>
          </cell>
        </row>
        <row r="50">
          <cell r="A50" t="str">
            <v>Meyer Burger Technology AG</v>
          </cell>
          <cell r="B50" t="str">
            <v>C2790</v>
          </cell>
        </row>
        <row r="51">
          <cell r="A51" t="str">
            <v>Mikron Holding AG</v>
          </cell>
          <cell r="B51" t="str">
            <v>C2822</v>
          </cell>
        </row>
        <row r="52">
          <cell r="A52" t="str">
            <v>Nestlé AG</v>
          </cell>
          <cell r="B52" t="str">
            <v>C1079</v>
          </cell>
        </row>
        <row r="53">
          <cell r="A53" t="str">
            <v>NIBE Industrier AB</v>
          </cell>
          <cell r="B53" t="str">
            <v>C2750</v>
          </cell>
        </row>
        <row r="54">
          <cell r="A54" t="str">
            <v>Novartis AG</v>
          </cell>
          <cell r="B54" t="str">
            <v>C2100</v>
          </cell>
        </row>
        <row r="55">
          <cell r="A55" t="str">
            <v>OC Oerlikon Corporation AG</v>
          </cell>
          <cell r="B55" t="str">
            <v>C2829</v>
          </cell>
        </row>
        <row r="56">
          <cell r="A56" t="str">
            <v>PepsiCo Inc.</v>
          </cell>
          <cell r="B56" t="str">
            <v>C1104</v>
          </cell>
        </row>
        <row r="57">
          <cell r="A57" t="str">
            <v>Philip Morris International Inc</v>
          </cell>
          <cell r="B57" t="str">
            <v>C1200</v>
          </cell>
        </row>
        <row r="58">
          <cell r="A58" t="str">
            <v>Phoenix Mecano AG</v>
          </cell>
          <cell r="B58" t="str">
            <v>C2733</v>
          </cell>
        </row>
        <row r="59">
          <cell r="A59" t="str">
            <v>PIERER Mobility AG</v>
          </cell>
          <cell r="B59" t="str">
            <v>C3091</v>
          </cell>
        </row>
        <row r="60">
          <cell r="A60" t="str">
            <v>Rieter Holding AG</v>
          </cell>
          <cell r="B60" t="str">
            <v>C2896</v>
          </cell>
        </row>
        <row r="61">
          <cell r="A61" t="str">
            <v>Roche Holding AG</v>
          </cell>
          <cell r="B61" t="str">
            <v>C2100</v>
          </cell>
        </row>
        <row r="62">
          <cell r="A62" t="str">
            <v>Sandoz Group AG</v>
          </cell>
          <cell r="B62" t="str">
            <v>C2100</v>
          </cell>
        </row>
        <row r="63">
          <cell r="A63" t="str">
            <v>Schlatter Industries AG</v>
          </cell>
          <cell r="B63" t="str">
            <v>C2822</v>
          </cell>
        </row>
        <row r="64">
          <cell r="A64" t="str">
            <v>Schweiter Technologies AG</v>
          </cell>
          <cell r="B64" t="str">
            <v>C2229</v>
          </cell>
        </row>
        <row r="65">
          <cell r="A65" t="str">
            <v>Sensirion Holding AG</v>
          </cell>
          <cell r="B65" t="str">
            <v>C2651</v>
          </cell>
        </row>
        <row r="66">
          <cell r="A66" t="str">
            <v>SFS Group AG</v>
          </cell>
          <cell r="B66" t="str">
            <v>C2593</v>
          </cell>
        </row>
        <row r="67">
          <cell r="A67" t="str">
            <v>Siegfried Holding AG</v>
          </cell>
          <cell r="B67" t="str">
            <v>C2100</v>
          </cell>
        </row>
        <row r="68">
          <cell r="A68" t="str">
            <v>SIG Group Ltd</v>
          </cell>
          <cell r="B68" t="str">
            <v>C2221</v>
          </cell>
        </row>
        <row r="69">
          <cell r="A69" t="str">
            <v>Sika AG</v>
          </cell>
          <cell r="B69" t="str">
            <v>C2029</v>
          </cell>
        </row>
        <row r="70">
          <cell r="A70" t="str">
            <v>Sonova Holding AG</v>
          </cell>
          <cell r="B70" t="str">
            <v>C2660</v>
          </cell>
        </row>
        <row r="71">
          <cell r="A71" t="str">
            <v>Stadler Rail AG</v>
          </cell>
          <cell r="B71" t="str">
            <v>C3020</v>
          </cell>
        </row>
        <row r="72">
          <cell r="A72" t="str">
            <v>StarragTornos Group AG</v>
          </cell>
          <cell r="B72" t="str">
            <v>C2829</v>
          </cell>
        </row>
        <row r="73">
          <cell r="A73" t="str">
            <v>Straumann Holding AG</v>
          </cell>
          <cell r="B73" t="str">
            <v>C3250</v>
          </cell>
        </row>
        <row r="74">
          <cell r="A74" t="str">
            <v>Sulzer AG</v>
          </cell>
          <cell r="B74" t="str">
            <v>C2813</v>
          </cell>
        </row>
        <row r="75">
          <cell r="A75" t="str">
            <v>Swiss Steel Holding AG</v>
          </cell>
          <cell r="B75" t="str">
            <v>C2410</v>
          </cell>
        </row>
        <row r="76">
          <cell r="A76" t="str">
            <v>Swisscom AG</v>
          </cell>
          <cell r="B76" t="str">
            <v>J6110</v>
          </cell>
        </row>
        <row r="77">
          <cell r="A77" t="str">
            <v>Tecan Group AG</v>
          </cell>
          <cell r="B77" t="str">
            <v>C2651</v>
          </cell>
        </row>
        <row r="78">
          <cell r="A78" t="str">
            <v>The Swatch Group AG</v>
          </cell>
          <cell r="B78" t="str">
            <v>C2652</v>
          </cell>
        </row>
        <row r="79">
          <cell r="A79" t="str">
            <v>u-blox Holding AG</v>
          </cell>
          <cell r="B79" t="str">
            <v>C2610</v>
          </cell>
        </row>
        <row r="80">
          <cell r="A80" t="str">
            <v>V-ZUG Holding AG</v>
          </cell>
          <cell r="B80" t="str">
            <v>C2750</v>
          </cell>
        </row>
        <row r="81">
          <cell r="A81" t="str">
            <v>WISeKey International Holding Ltd</v>
          </cell>
          <cell r="B81" t="str">
            <v>J6201</v>
          </cell>
        </row>
        <row r="82">
          <cell r="A82" t="str">
            <v>Ypsomed Holding AG</v>
          </cell>
          <cell r="B82" t="str">
            <v>C2100</v>
          </cell>
        </row>
        <row r="83">
          <cell r="A83" t="str">
            <v>Zehnder Group AG</v>
          </cell>
          <cell r="B83" t="str">
            <v>C2825</v>
          </cell>
        </row>
        <row r="84">
          <cell r="A84" t="str">
            <v>Zimmer Biomet Holdings Inc.</v>
          </cell>
          <cell r="B84" t="str">
            <v>C3250</v>
          </cell>
        </row>
        <row r="85">
          <cell r="A85" t="str">
            <v>Ascom Holding AG</v>
          </cell>
          <cell r="B85" t="str">
            <v>J6110</v>
          </cell>
        </row>
        <row r="86">
          <cell r="A86" t="str">
            <v>Calida Holding AG</v>
          </cell>
          <cell r="B86" t="str">
            <v>C1410</v>
          </cell>
        </row>
        <row r="87">
          <cell r="A87" t="str">
            <v>COSMO Pharmaceuticals N.V.</v>
          </cell>
          <cell r="B87" t="str">
            <v>C2100</v>
          </cell>
        </row>
        <row r="88">
          <cell r="A88" t="str">
            <v>Emmi AG</v>
          </cell>
          <cell r="B88" t="str">
            <v>C1050</v>
          </cell>
        </row>
        <row r="89">
          <cell r="A89" t="str">
            <v>Evolva Holding SA</v>
          </cell>
          <cell r="B89" t="str">
            <v>C2100</v>
          </cell>
        </row>
        <row r="90">
          <cell r="A90" t="str">
            <v>Gotion High-Tech Co., Ltd.</v>
          </cell>
          <cell r="B90" t="str">
            <v>C2720</v>
          </cell>
        </row>
        <row r="91">
          <cell r="A91" t="str">
            <v>Kardex Holding AG</v>
          </cell>
          <cell r="B91" t="str">
            <v>C2810</v>
          </cell>
        </row>
        <row r="92">
          <cell r="A92" t="str">
            <v>Kuros Biosciences Ltd.</v>
          </cell>
          <cell r="B92" t="str">
            <v>C2100</v>
          </cell>
        </row>
        <row r="93">
          <cell r="A93" t="str">
            <v>Molecular Partners AG</v>
          </cell>
          <cell r="B93" t="str">
            <v>C2100</v>
          </cell>
        </row>
        <row r="94">
          <cell r="A94" t="str">
            <v>Newron Pharmaceuticals S.p.A.</v>
          </cell>
          <cell r="B94" t="str">
            <v>C2100</v>
          </cell>
        </row>
        <row r="95">
          <cell r="A95" t="str">
            <v>Orell Füssli AG</v>
          </cell>
          <cell r="B95" t="str">
            <v>C1811</v>
          </cell>
        </row>
        <row r="96">
          <cell r="A96" t="str">
            <v>Shenzhen Senior Technology Material Co., Ltd.</v>
          </cell>
          <cell r="B96" t="str">
            <v>C2720</v>
          </cell>
        </row>
        <row r="97">
          <cell r="A97" t="str">
            <v>SKAN Group AG</v>
          </cell>
          <cell r="B97" t="str">
            <v>C2829</v>
          </cell>
        </row>
        <row r="98">
          <cell r="A98" t="str">
            <v>Spexis Ltd.</v>
          </cell>
          <cell r="B98" t="str">
            <v>C2100</v>
          </cell>
        </row>
        <row r="99">
          <cell r="A99" t="str">
            <v>UBS Group AG</v>
          </cell>
          <cell r="B99" t="str">
            <v>K6419</v>
          </cell>
        </row>
        <row r="100">
          <cell r="A100" t="str">
            <v>Xlife Sciences AG</v>
          </cell>
          <cell r="B100" t="str">
            <v>C7210</v>
          </cell>
        </row>
        <row r="101">
          <cell r="A101" t="str">
            <v>Addex Therapeutics Ltd</v>
          </cell>
          <cell r="B101" t="str">
            <v>C2100</v>
          </cell>
        </row>
        <row r="102">
          <cell r="A102" t="str">
            <v>Anglo American plc</v>
          </cell>
          <cell r="B102" t="str">
            <v>B0710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680"/>
  <sheetViews>
    <sheetView tabSelected="1" zoomScale="90" zoomScaleNormal="90" workbookViewId="0">
      <pane ySplit="1" topLeftCell="A2" activePane="bottomLeft" state="frozen"/>
      <selection/>
      <selection pane="bottomLeft" activeCell="C9" sqref="C9"/>
    </sheetView>
  </sheetViews>
  <sheetFormatPr defaultColWidth="9" defaultRowHeight="14"/>
  <cols>
    <col min="1" max="1" width="9" style="4"/>
    <col min="2" max="2" width="20.8181818181818" style="5" customWidth="1"/>
    <col min="3" max="3" width="20.8181818181818" style="6" customWidth="1"/>
    <col min="4" max="5" width="20.8181818181818" style="7" customWidth="1"/>
    <col min="6" max="6" width="20.8181818181818" style="8" customWidth="1"/>
    <col min="7" max="8" width="20.8181818181818" style="7" customWidth="1"/>
    <col min="9" max="9" width="20.8181818181818" style="8" customWidth="1"/>
    <col min="10" max="10" width="20.8181818181818" style="9" customWidth="1"/>
    <col min="11" max="11" width="20.8181818181818" style="8" customWidth="1"/>
    <col min="12" max="12" width="20.8181818181818" style="7" customWidth="1"/>
    <col min="13" max="13" width="20.8181818181818" style="8" customWidth="1"/>
    <col min="14" max="14" width="20.8181818181818" style="5" customWidth="1"/>
    <col min="15" max="15" width="20.8181818181818" style="10" customWidth="1"/>
    <col min="16" max="33" width="12.3272727272727" style="4" customWidth="1"/>
    <col min="34" max="36" width="18.0818181818182" style="4" customWidth="1"/>
    <col min="37" max="16384" width="9" style="4"/>
  </cols>
  <sheetData>
    <row r="1" s="4" customFormat="1" ht="46" customHeight="1" spans="1:36">
      <c r="A1" s="5" t="s">
        <v>0</v>
      </c>
      <c r="B1" s="5" t="s">
        <v>1</v>
      </c>
      <c r="C1" s="6" t="s">
        <v>2</v>
      </c>
      <c r="D1" s="11" t="s">
        <v>3</v>
      </c>
      <c r="E1" s="12" t="s">
        <v>4</v>
      </c>
      <c r="F1" s="13" t="s">
        <v>5</v>
      </c>
      <c r="G1" s="12" t="s">
        <v>6</v>
      </c>
      <c r="H1" s="12" t="s">
        <v>7</v>
      </c>
      <c r="I1" s="13" t="s">
        <v>8</v>
      </c>
      <c r="J1" s="21" t="s">
        <v>9</v>
      </c>
      <c r="K1" s="13" t="s">
        <v>10</v>
      </c>
      <c r="L1" s="12" t="s">
        <v>11</v>
      </c>
      <c r="M1" s="13" t="s">
        <v>12</v>
      </c>
      <c r="N1" s="22" t="s">
        <v>13</v>
      </c>
      <c r="O1" s="22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3" t="s">
        <v>26</v>
      </c>
      <c r="AB1" s="23" t="s">
        <v>27</v>
      </c>
      <c r="AC1" s="23" t="s">
        <v>28</v>
      </c>
      <c r="AD1" s="23" t="s">
        <v>29</v>
      </c>
      <c r="AE1" s="23" t="s">
        <v>30</v>
      </c>
      <c r="AF1" s="23" t="s">
        <v>31</v>
      </c>
      <c r="AG1" s="23" t="s">
        <v>32</v>
      </c>
      <c r="AH1" s="32" t="s">
        <v>33</v>
      </c>
      <c r="AI1" s="32" t="s">
        <v>34</v>
      </c>
      <c r="AJ1" s="32" t="s">
        <v>35</v>
      </c>
    </row>
    <row r="2" s="2" customFormat="1" spans="1:36">
      <c r="A2" s="2" t="str">
        <f>VLOOKUP(B2,'[1]2. ISIC行业分类'!$A$2:$B$102,2,FALSE)</f>
        <v>C2029</v>
      </c>
      <c r="B2" s="14" t="s">
        <v>36</v>
      </c>
      <c r="C2" s="15" t="s">
        <v>37</v>
      </c>
      <c r="D2" s="16">
        <v>1770</v>
      </c>
      <c r="E2" s="16">
        <v>31821</v>
      </c>
      <c r="F2" s="17">
        <f t="shared" ref="F2:F65" si="0">D2/E2</f>
        <v>0.0556236447628924</v>
      </c>
      <c r="G2" s="16">
        <v>18067</v>
      </c>
      <c r="H2" s="16">
        <v>31209</v>
      </c>
      <c r="I2" s="24">
        <v>0.578903521420103</v>
      </c>
      <c r="J2" s="25">
        <v>22841</v>
      </c>
      <c r="K2" s="24">
        <v>0.731872216347848</v>
      </c>
      <c r="L2" s="16">
        <v>4956</v>
      </c>
      <c r="M2" s="24">
        <v>0.158800346054023</v>
      </c>
      <c r="N2" s="26">
        <v>89800</v>
      </c>
      <c r="O2" s="27" t="s">
        <v>38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3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6</v>
      </c>
      <c r="AF2" s="1">
        <v>54822</v>
      </c>
      <c r="AG2" s="33">
        <f t="shared" ref="AG2:AG44" si="1">AE2/AF2</f>
        <v>0.000109445113275692</v>
      </c>
      <c r="AH2" s="1">
        <v>292</v>
      </c>
      <c r="AI2" s="1">
        <v>15919</v>
      </c>
      <c r="AJ2" s="1">
        <v>5280</v>
      </c>
    </row>
    <row r="3" s="1" customFormat="1" spans="1:36">
      <c r="A3" s="2" t="str">
        <f>VLOOKUP(B3,'[1]2. ISIC行业分类'!$A$2:$B$102,2,FALSE)</f>
        <v>C2029</v>
      </c>
      <c r="B3" s="14" t="s">
        <v>36</v>
      </c>
      <c r="C3" s="15" t="s">
        <v>39</v>
      </c>
      <c r="D3" s="16">
        <v>1751</v>
      </c>
      <c r="E3" s="16">
        <v>30274</v>
      </c>
      <c r="F3" s="17">
        <f t="shared" si="0"/>
        <v>0.0578384091960098</v>
      </c>
      <c r="G3" s="16">
        <v>21415</v>
      </c>
      <c r="H3" s="16">
        <v>32883</v>
      </c>
      <c r="I3" s="24">
        <v>0.651248365416781</v>
      </c>
      <c r="J3" s="25">
        <v>23098</v>
      </c>
      <c r="K3" s="24">
        <v>0.70242982696226</v>
      </c>
      <c r="L3" s="16">
        <v>4833</v>
      </c>
      <c r="M3" s="24">
        <v>0.146975640908676</v>
      </c>
      <c r="N3" s="26">
        <v>89446</v>
      </c>
      <c r="O3" s="27" t="s">
        <v>38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3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6</v>
      </c>
      <c r="AF3" s="1">
        <v>50254</v>
      </c>
      <c r="AG3" s="33">
        <f t="shared" si="1"/>
        <v>0.000119393481115931</v>
      </c>
      <c r="AH3" s="1">
        <v>289</v>
      </c>
      <c r="AI3" s="1">
        <v>14821</v>
      </c>
      <c r="AJ3" s="1">
        <v>4497</v>
      </c>
    </row>
    <row r="4" s="2" customFormat="1" spans="1:36">
      <c r="A4" s="2" t="str">
        <f>VLOOKUP(B4,'[1]2. ISIC行业分类'!$A$2:$B$102,2,FALSE)</f>
        <v>C2029</v>
      </c>
      <c r="B4" s="14" t="s">
        <v>36</v>
      </c>
      <c r="C4" s="15" t="s">
        <v>40</v>
      </c>
      <c r="D4" s="16">
        <v>1764</v>
      </c>
      <c r="E4" s="16">
        <v>30109</v>
      </c>
      <c r="F4" s="17">
        <f t="shared" si="0"/>
        <v>0.0585871334152579</v>
      </c>
      <c r="G4" s="16">
        <v>22563</v>
      </c>
      <c r="H4" s="16">
        <v>32906</v>
      </c>
      <c r="I4" s="24">
        <v>0.685680423023157</v>
      </c>
      <c r="J4" s="25">
        <v>23499</v>
      </c>
      <c r="K4" s="24">
        <v>0.714125083571385</v>
      </c>
      <c r="L4" s="16">
        <v>5050</v>
      </c>
      <c r="M4" s="24">
        <v>0.15346745274418</v>
      </c>
      <c r="N4" s="26">
        <v>91584</v>
      </c>
      <c r="O4" s="27" t="s">
        <v>38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3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6</v>
      </c>
      <c r="AF4" s="1">
        <v>54841</v>
      </c>
      <c r="AG4" s="33">
        <f t="shared" si="1"/>
        <v>0.000109407195346547</v>
      </c>
      <c r="AH4" s="1">
        <v>275</v>
      </c>
      <c r="AI4" s="1">
        <v>14097</v>
      </c>
      <c r="AJ4" s="1">
        <v>3433</v>
      </c>
    </row>
    <row r="5" s="2" customFormat="1" spans="1:36">
      <c r="A5" s="2" t="str">
        <f>VLOOKUP(B5,'[1]2. ISIC行业分类'!$A$2:$B$102,2,FALSE)</f>
        <v>C2029</v>
      </c>
      <c r="B5" s="14" t="s">
        <v>36</v>
      </c>
      <c r="C5" s="15" t="s">
        <v>41</v>
      </c>
      <c r="D5" s="16">
        <v>1862</v>
      </c>
      <c r="E5" s="16">
        <v>31657</v>
      </c>
      <c r="F5" s="17">
        <f t="shared" si="0"/>
        <v>0.0588179549546704</v>
      </c>
      <c r="G5" s="16">
        <v>26365</v>
      </c>
      <c r="H5" s="16">
        <v>37987</v>
      </c>
      <c r="I5" s="24">
        <v>0.694053228736147</v>
      </c>
      <c r="J5" s="25">
        <v>24914</v>
      </c>
      <c r="K5" s="24">
        <v>0.655855950719983</v>
      </c>
      <c r="L5" s="16">
        <v>4858</v>
      </c>
      <c r="M5" s="24">
        <v>0.127885855687472</v>
      </c>
      <c r="N5" s="26">
        <v>91536</v>
      </c>
      <c r="O5" s="27" t="s">
        <v>38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56748</v>
      </c>
      <c r="AG5" s="33">
        <f t="shared" si="1"/>
        <v>0</v>
      </c>
      <c r="AH5" s="1">
        <v>221</v>
      </c>
      <c r="AI5" s="1">
        <v>10773</v>
      </c>
      <c r="AJ5" s="1">
        <v>2602</v>
      </c>
    </row>
    <row r="6" s="2" customFormat="1" spans="1:36">
      <c r="A6" s="2" t="str">
        <f>VLOOKUP(B6,'[1]2. ISIC行业分类'!$A$2:$B$102,2,FALSE)</f>
        <v>C2029</v>
      </c>
      <c r="B6" s="14" t="s">
        <v>36</v>
      </c>
      <c r="C6" s="15" t="s">
        <v>42</v>
      </c>
      <c r="D6" s="16">
        <v>1816</v>
      </c>
      <c r="E6" s="16">
        <v>32765</v>
      </c>
      <c r="F6" s="17">
        <f t="shared" si="0"/>
        <v>0.0554249961849535</v>
      </c>
      <c r="G6" s="16">
        <v>26652</v>
      </c>
      <c r="H6" s="16">
        <v>36500</v>
      </c>
      <c r="I6" s="24">
        <v>0.730191780821918</v>
      </c>
      <c r="J6" s="25">
        <v>24873</v>
      </c>
      <c r="K6" s="24">
        <v>0.681452054794521</v>
      </c>
      <c r="L6" s="16">
        <v>5349</v>
      </c>
      <c r="M6" s="24">
        <v>0.146547945205479</v>
      </c>
      <c r="N6" s="26">
        <v>93516</v>
      </c>
      <c r="O6" s="27" t="s">
        <v>38</v>
      </c>
      <c r="P6" s="1">
        <v>5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10</v>
      </c>
      <c r="AF6" s="1">
        <v>65735</v>
      </c>
      <c r="AG6" s="33">
        <f t="shared" si="1"/>
        <v>0.000152125960295124</v>
      </c>
      <c r="AH6" s="1">
        <v>133</v>
      </c>
      <c r="AI6" s="1">
        <v>6204</v>
      </c>
      <c r="AJ6" s="1">
        <v>1075</v>
      </c>
    </row>
    <row r="7" s="2" customFormat="1" spans="1:36">
      <c r="A7" s="2" t="str">
        <f>VLOOKUP(B7,'[1]2. ISIC行业分类'!$A$2:$B$102,2,FALSE)</f>
        <v>C2029</v>
      </c>
      <c r="B7" s="14" t="s">
        <v>36</v>
      </c>
      <c r="C7" s="15" t="s">
        <v>43</v>
      </c>
      <c r="D7" s="16">
        <v>1874</v>
      </c>
      <c r="E7" s="16">
        <v>32136</v>
      </c>
      <c r="F7" s="17">
        <f t="shared" si="0"/>
        <v>0.0583146626835947</v>
      </c>
      <c r="G7" s="16">
        <v>34533</v>
      </c>
      <c r="H7" s="16">
        <v>44659</v>
      </c>
      <c r="I7" s="24">
        <v>0.773259589332497</v>
      </c>
      <c r="J7" s="25">
        <v>26982</v>
      </c>
      <c r="K7" s="24">
        <v>0.604178329116192</v>
      </c>
      <c r="L7" s="16">
        <v>4517</v>
      </c>
      <c r="M7" s="24">
        <v>0.101144226247789</v>
      </c>
      <c r="N7" s="26">
        <v>96163</v>
      </c>
      <c r="O7" s="27" t="s">
        <v>38</v>
      </c>
      <c r="P7" s="1">
        <v>1</v>
      </c>
      <c r="Q7" s="1">
        <v>0</v>
      </c>
      <c r="R7" s="1">
        <v>0</v>
      </c>
      <c r="S7" s="1">
        <v>2</v>
      </c>
      <c r="T7" s="1">
        <v>0</v>
      </c>
      <c r="U7" s="1">
        <v>0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6</v>
      </c>
      <c r="AF7" s="1">
        <v>101899</v>
      </c>
      <c r="AG7" s="33">
        <f t="shared" si="1"/>
        <v>5.88818339728555e-5</v>
      </c>
      <c r="AH7" s="1">
        <v>76</v>
      </c>
      <c r="AI7" s="1">
        <v>2894</v>
      </c>
      <c r="AJ7" s="1">
        <v>356</v>
      </c>
    </row>
    <row r="8" s="1" customFormat="1" spans="1:36">
      <c r="A8" s="2" t="str">
        <f>VLOOKUP(B8,'[1]2. ISIC行业分类'!$A$2:$B$102,2,FALSE)</f>
        <v>C2029</v>
      </c>
      <c r="B8" s="14" t="s">
        <v>36</v>
      </c>
      <c r="C8" s="15" t="s">
        <v>44</v>
      </c>
      <c r="D8" s="16">
        <v>1862</v>
      </c>
      <c r="E8" s="16">
        <v>32184</v>
      </c>
      <c r="F8" s="17">
        <f t="shared" si="0"/>
        <v>0.0578548347004723</v>
      </c>
      <c r="G8" s="16">
        <v>34413</v>
      </c>
      <c r="H8" s="16">
        <v>47344</v>
      </c>
      <c r="I8" s="24">
        <v>0.726871409259885</v>
      </c>
      <c r="J8" s="25">
        <v>27514</v>
      </c>
      <c r="K8" s="24">
        <v>0.581150726596823</v>
      </c>
      <c r="L8" s="16">
        <v>5449</v>
      </c>
      <c r="M8" s="24">
        <v>0.115093781683001</v>
      </c>
      <c r="N8" s="26">
        <v>95000</v>
      </c>
      <c r="O8" s="27" t="s">
        <v>38</v>
      </c>
      <c r="P8" s="1">
        <v>5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14</v>
      </c>
      <c r="AF8" s="1">
        <v>99028</v>
      </c>
      <c r="AG8" s="33">
        <f t="shared" si="1"/>
        <v>0.000141374156804136</v>
      </c>
      <c r="AH8" s="1">
        <v>41</v>
      </c>
      <c r="AI8" s="1">
        <v>1001</v>
      </c>
      <c r="AJ8" s="1">
        <v>104</v>
      </c>
    </row>
    <row r="9" s="1" customFormat="1" spans="1:36">
      <c r="A9" s="2" t="str">
        <f>VLOOKUP(B9,'[1]2. ISIC行业分类'!$A$2:$B$102,2,FALSE)</f>
        <v>C2029</v>
      </c>
      <c r="B9" s="14" t="s">
        <v>36</v>
      </c>
      <c r="C9" s="15" t="s">
        <v>45</v>
      </c>
      <c r="D9" s="16">
        <v>1994</v>
      </c>
      <c r="E9" s="16">
        <v>35355</v>
      </c>
      <c r="F9" s="17">
        <f t="shared" si="0"/>
        <v>0.0563993777400651</v>
      </c>
      <c r="G9" s="16">
        <v>31955</v>
      </c>
      <c r="H9" s="16">
        <v>47072</v>
      </c>
      <c r="I9" s="24">
        <v>0.678853670972128</v>
      </c>
      <c r="J9" s="25">
        <v>28071</v>
      </c>
      <c r="K9" s="24">
        <v>0.596341774303195</v>
      </c>
      <c r="L9" s="16">
        <v>5921</v>
      </c>
      <c r="M9" s="24">
        <v>0.125786029911625</v>
      </c>
      <c r="N9" s="26">
        <v>95000</v>
      </c>
      <c r="O9" s="27" t="s">
        <v>38</v>
      </c>
      <c r="P9" s="1">
        <v>2</v>
      </c>
      <c r="Q9" s="1">
        <v>0</v>
      </c>
      <c r="R9" s="1">
        <v>0</v>
      </c>
      <c r="S9" s="1">
        <v>7</v>
      </c>
      <c r="T9" s="1">
        <v>0</v>
      </c>
      <c r="U9" s="1">
        <v>0</v>
      </c>
      <c r="V9" s="1">
        <v>1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15</v>
      </c>
      <c r="AF9" s="1">
        <v>127179</v>
      </c>
      <c r="AG9" s="33">
        <f t="shared" si="1"/>
        <v>0.00011794400018871</v>
      </c>
      <c r="AH9" s="1">
        <v>12</v>
      </c>
      <c r="AI9" s="1">
        <v>264</v>
      </c>
      <c r="AJ9" s="1">
        <v>32</v>
      </c>
    </row>
    <row r="10" s="2" customFormat="1" spans="1:36">
      <c r="A10" s="2" t="str">
        <f>VLOOKUP(B10,'[1]2. ISIC行业分类'!$A$2:$B$102,2,FALSE)</f>
        <v>C2710</v>
      </c>
      <c r="B10" s="14" t="s">
        <v>46</v>
      </c>
      <c r="C10" s="15" t="s">
        <v>37</v>
      </c>
      <c r="D10" s="16">
        <v>1499</v>
      </c>
      <c r="E10" s="16">
        <v>39830</v>
      </c>
      <c r="F10" s="17">
        <f t="shared" si="0"/>
        <v>0.0376349485312578</v>
      </c>
      <c r="G10" s="16">
        <v>28037</v>
      </c>
      <c r="H10" s="16">
        <v>44852</v>
      </c>
      <c r="I10" s="24">
        <v>0.625100329974137</v>
      </c>
      <c r="J10" s="25">
        <v>12557</v>
      </c>
      <c r="K10" s="24">
        <v>0.279965218942299</v>
      </c>
      <c r="L10" s="16">
        <v>2594</v>
      </c>
      <c r="M10" s="24">
        <v>0.057834656202622</v>
      </c>
      <c r="N10" s="26">
        <v>140400</v>
      </c>
      <c r="O10" s="27" t="s">
        <v>47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2</v>
      </c>
      <c r="AF10" s="1">
        <v>29446</v>
      </c>
      <c r="AG10" s="33">
        <f t="shared" si="1"/>
        <v>6.792094002581e-5</v>
      </c>
      <c r="AH10" s="1">
        <v>250</v>
      </c>
      <c r="AI10" s="1">
        <v>3640</v>
      </c>
      <c r="AJ10" s="1">
        <v>2113</v>
      </c>
    </row>
    <row r="11" s="2" customFormat="1" spans="1:36">
      <c r="A11" s="2" t="str">
        <f>VLOOKUP(B11,'[1]2. ISIC行业分类'!$A$2:$B$102,2,FALSE)</f>
        <v>C2710</v>
      </c>
      <c r="B11" s="14" t="s">
        <v>46</v>
      </c>
      <c r="C11" s="15" t="s">
        <v>39</v>
      </c>
      <c r="D11" s="16">
        <v>1368</v>
      </c>
      <c r="E11" s="16">
        <v>35481</v>
      </c>
      <c r="F11" s="17">
        <f t="shared" si="0"/>
        <v>0.0385558467912404</v>
      </c>
      <c r="G11" s="16">
        <v>26368</v>
      </c>
      <c r="H11" s="16">
        <v>41356</v>
      </c>
      <c r="I11" s="24">
        <v>0.637585840023213</v>
      </c>
      <c r="J11" s="25">
        <v>12116</v>
      </c>
      <c r="K11" s="24">
        <v>0.292968372182996</v>
      </c>
      <c r="L11" s="16">
        <v>1933</v>
      </c>
      <c r="M11" s="24">
        <v>0.046740497146726</v>
      </c>
      <c r="N11" s="26">
        <v>135800</v>
      </c>
      <c r="O11" s="27" t="s">
        <v>47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2</v>
      </c>
      <c r="AF11" s="1">
        <v>39979</v>
      </c>
      <c r="AG11" s="33">
        <f t="shared" si="1"/>
        <v>5.0026263788489e-5</v>
      </c>
      <c r="AH11" s="1">
        <v>250</v>
      </c>
      <c r="AI11" s="1">
        <v>3680</v>
      </c>
      <c r="AJ11" s="1">
        <v>1628</v>
      </c>
    </row>
    <row r="12" s="2" customFormat="1" spans="1:36">
      <c r="A12" s="2" t="str">
        <f>VLOOKUP(B12,'[1]2. ISIC行业分类'!$A$2:$B$102,2,FALSE)</f>
        <v>C2710</v>
      </c>
      <c r="B12" s="14" t="s">
        <v>46</v>
      </c>
      <c r="C12" s="15" t="s">
        <v>40</v>
      </c>
      <c r="D12" s="16">
        <v>961</v>
      </c>
      <c r="E12" s="16">
        <v>24929</v>
      </c>
      <c r="F12" s="17">
        <f t="shared" si="0"/>
        <v>0.0385494805246901</v>
      </c>
      <c r="G12" s="16">
        <v>25305</v>
      </c>
      <c r="H12" s="16">
        <v>39202</v>
      </c>
      <c r="I12" s="24">
        <v>0.645502780470384</v>
      </c>
      <c r="J12" s="25">
        <v>11669</v>
      </c>
      <c r="K12" s="24">
        <v>0.297663384521198</v>
      </c>
      <c r="L12" s="16">
        <v>1899</v>
      </c>
      <c r="M12" s="24">
        <v>0.0484414060507117</v>
      </c>
      <c r="N12" s="26">
        <v>132300</v>
      </c>
      <c r="O12" s="27" t="s">
        <v>47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16</v>
      </c>
      <c r="AF12" s="1">
        <v>40115</v>
      </c>
      <c r="AG12" s="33">
        <f t="shared" si="1"/>
        <v>0.000398853296771781</v>
      </c>
      <c r="AH12" s="1">
        <v>258</v>
      </c>
      <c r="AI12" s="1">
        <v>3813</v>
      </c>
      <c r="AJ12" s="1">
        <v>1473</v>
      </c>
    </row>
    <row r="13" s="1" customFormat="1" spans="1:36">
      <c r="A13" s="2" t="str">
        <f>VLOOKUP(B13,'[1]2. ISIC行业分类'!$A$2:$B$102,2,FALSE)</f>
        <v>C2710</v>
      </c>
      <c r="B13" s="14" t="s">
        <v>46</v>
      </c>
      <c r="C13" s="15" t="s">
        <v>41</v>
      </c>
      <c r="D13" s="16">
        <v>1018</v>
      </c>
      <c r="E13" s="16">
        <v>25196</v>
      </c>
      <c r="F13" s="17">
        <f t="shared" si="0"/>
        <v>0.0404032386093031</v>
      </c>
      <c r="G13" s="16">
        <v>28109</v>
      </c>
      <c r="H13" s="16">
        <v>43458</v>
      </c>
      <c r="I13" s="24">
        <v>0.646808412720328</v>
      </c>
      <c r="J13" s="25">
        <v>9351</v>
      </c>
      <c r="K13" s="24">
        <v>0.215173270744167</v>
      </c>
      <c r="L13" s="16">
        <v>2213</v>
      </c>
      <c r="M13" s="24">
        <v>0.0509227299921764</v>
      </c>
      <c r="N13" s="26">
        <v>134800</v>
      </c>
      <c r="O13" s="27" t="s">
        <v>47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1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22</v>
      </c>
      <c r="AF13" s="1">
        <v>46830</v>
      </c>
      <c r="AG13" s="33">
        <f t="shared" si="1"/>
        <v>0.000469784326286568</v>
      </c>
      <c r="AH13" s="1">
        <v>216</v>
      </c>
      <c r="AI13" s="1">
        <v>3298</v>
      </c>
      <c r="AJ13" s="1">
        <v>1050</v>
      </c>
    </row>
    <row r="14" s="1" customFormat="1" spans="1:36">
      <c r="A14" s="2" t="str">
        <f>VLOOKUP(B14,'[1]2. ISIC行业分类'!$A$2:$B$102,2,FALSE)</f>
        <v>C2710</v>
      </c>
      <c r="B14" s="14" t="s">
        <v>46</v>
      </c>
      <c r="C14" s="15" t="s">
        <v>42</v>
      </c>
      <c r="D14" s="16">
        <v>1142</v>
      </c>
      <c r="E14" s="16">
        <v>27662</v>
      </c>
      <c r="F14" s="17">
        <f t="shared" si="0"/>
        <v>0.0412840720121466</v>
      </c>
      <c r="G14" s="16">
        <v>29907</v>
      </c>
      <c r="H14" s="16">
        <v>44441</v>
      </c>
      <c r="I14" s="24">
        <v>0.672959654373214</v>
      </c>
      <c r="J14" s="25">
        <v>9661</v>
      </c>
      <c r="K14" s="24">
        <v>0.217389347674445</v>
      </c>
      <c r="L14" s="16">
        <v>2173</v>
      </c>
      <c r="M14" s="24">
        <v>0.0488962894624333</v>
      </c>
      <c r="N14" s="26">
        <v>146600</v>
      </c>
      <c r="O14" s="27" t="s">
        <v>47</v>
      </c>
      <c r="P14" s="1">
        <v>2</v>
      </c>
      <c r="Q14" s="1">
        <v>0</v>
      </c>
      <c r="R14" s="1">
        <v>0</v>
      </c>
      <c r="S14" s="1">
        <v>3</v>
      </c>
      <c r="T14" s="1">
        <v>3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47</v>
      </c>
      <c r="AF14" s="1">
        <v>46410</v>
      </c>
      <c r="AG14" s="33">
        <f t="shared" si="1"/>
        <v>0.00101271277741866</v>
      </c>
      <c r="AH14" s="1">
        <v>263</v>
      </c>
      <c r="AI14" s="1">
        <v>3935</v>
      </c>
      <c r="AJ14" s="1">
        <v>1046</v>
      </c>
    </row>
    <row r="15" s="1" customFormat="1" spans="1:36">
      <c r="A15" s="2" t="str">
        <f>VLOOKUP(B15,'[1]2. ISIC行业分类'!$A$2:$B$102,2,FALSE)</f>
        <v>C2710</v>
      </c>
      <c r="B15" s="14" t="s">
        <v>46</v>
      </c>
      <c r="C15" s="15" t="s">
        <v>43</v>
      </c>
      <c r="D15" s="16">
        <v>1197</v>
      </c>
      <c r="E15" s="16">
        <v>27978</v>
      </c>
      <c r="F15" s="17">
        <f t="shared" si="0"/>
        <v>0.0427836156980485</v>
      </c>
      <c r="G15" s="16">
        <v>32128</v>
      </c>
      <c r="H15" s="16">
        <v>46108</v>
      </c>
      <c r="I15" s="24">
        <v>0.69679882016136</v>
      </c>
      <c r="J15" s="25">
        <v>10682</v>
      </c>
      <c r="K15" s="24">
        <v>0.231673462305891</v>
      </c>
      <c r="L15" s="16">
        <v>1439</v>
      </c>
      <c r="M15" s="24">
        <v>0.0312093346057083</v>
      </c>
      <c r="N15" s="26">
        <v>144400</v>
      </c>
      <c r="O15" s="27" t="s">
        <v>47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32</v>
      </c>
      <c r="AF15" s="1">
        <v>53688</v>
      </c>
      <c r="AG15" s="33">
        <f t="shared" si="1"/>
        <v>0.000596036358217851</v>
      </c>
      <c r="AH15" s="1">
        <v>193</v>
      </c>
      <c r="AI15" s="1">
        <v>3385</v>
      </c>
      <c r="AJ15" s="1">
        <v>479</v>
      </c>
    </row>
    <row r="16" s="2" customFormat="1" spans="1:36">
      <c r="A16" s="2" t="str">
        <f>VLOOKUP(B16,'[1]2. ISIC行业分类'!$A$2:$B$102,2,FALSE)</f>
        <v>C2710</v>
      </c>
      <c r="B16" s="14" t="s">
        <v>46</v>
      </c>
      <c r="C16" s="15" t="s">
        <v>44</v>
      </c>
      <c r="D16" s="16">
        <v>1113</v>
      </c>
      <c r="E16" s="16">
        <v>26134</v>
      </c>
      <c r="F16" s="17">
        <f t="shared" si="0"/>
        <v>0.0425881992806306</v>
      </c>
      <c r="G16" s="16">
        <v>25089</v>
      </c>
      <c r="H16" s="16">
        <v>41088</v>
      </c>
      <c r="I16" s="24">
        <v>0.610616238317757</v>
      </c>
      <c r="J16" s="25">
        <v>11507</v>
      </c>
      <c r="K16" s="24">
        <v>0.280057437694704</v>
      </c>
      <c r="L16" s="16">
        <v>5146</v>
      </c>
      <c r="M16" s="24">
        <v>0.125243380062305</v>
      </c>
      <c r="N16" s="26">
        <v>105600</v>
      </c>
      <c r="O16" s="27" t="s">
        <v>47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26</v>
      </c>
      <c r="AF16" s="1">
        <v>49452</v>
      </c>
      <c r="AG16" s="33">
        <f t="shared" si="1"/>
        <v>0.000525762355415352</v>
      </c>
      <c r="AH16" s="1">
        <v>111</v>
      </c>
      <c r="AI16" s="1">
        <v>1623</v>
      </c>
      <c r="AJ16" s="1">
        <v>145</v>
      </c>
    </row>
    <row r="17" s="2" customFormat="1" spans="1:36">
      <c r="A17" s="2" t="str">
        <f>VLOOKUP(B17,'[1]2. ISIC行业分类'!$A$2:$B$102,2,FALSE)</f>
        <v>C2710</v>
      </c>
      <c r="B17" s="14" t="s">
        <v>46</v>
      </c>
      <c r="C17" s="15" t="s">
        <v>45</v>
      </c>
      <c r="D17" s="16">
        <v>1217</v>
      </c>
      <c r="E17" s="16">
        <v>28945</v>
      </c>
      <c r="F17" s="17">
        <f t="shared" si="0"/>
        <v>0.0420452582484021</v>
      </c>
      <c r="G17" s="16">
        <v>24303</v>
      </c>
      <c r="H17" s="16">
        <v>40260</v>
      </c>
      <c r="I17" s="24">
        <v>0.603651266766021</v>
      </c>
      <c r="J17" s="25">
        <v>11127</v>
      </c>
      <c r="K17" s="24">
        <v>0.276378539493294</v>
      </c>
      <c r="L17" s="16">
        <v>4546</v>
      </c>
      <c r="M17" s="24">
        <v>0.112916045702931</v>
      </c>
      <c r="N17" s="26">
        <v>104400</v>
      </c>
      <c r="O17" s="27" t="s">
        <v>47</v>
      </c>
      <c r="P17" s="1">
        <v>1</v>
      </c>
      <c r="Q17" s="1">
        <v>0</v>
      </c>
      <c r="R17" s="1">
        <v>0</v>
      </c>
      <c r="S17" s="1">
        <v>2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36</v>
      </c>
      <c r="AF17" s="1">
        <v>61413</v>
      </c>
      <c r="AG17" s="33">
        <f t="shared" si="1"/>
        <v>0.000586195105270871</v>
      </c>
      <c r="AH17" s="1">
        <v>45</v>
      </c>
      <c r="AI17" s="1">
        <v>476</v>
      </c>
      <c r="AJ17" s="1">
        <v>47</v>
      </c>
    </row>
    <row r="18" s="2" customFormat="1" spans="1:36">
      <c r="A18" s="2" t="str">
        <f>VLOOKUP(B18,'[1]2. ISIC行业分类'!$A$2:$B$102,2,FALSE)</f>
        <v>C2710</v>
      </c>
      <c r="B18" s="14" t="s">
        <v>46</v>
      </c>
      <c r="C18" s="15" t="s">
        <v>48</v>
      </c>
      <c r="D18" s="16">
        <v>1164</v>
      </c>
      <c r="E18" s="16">
        <v>29446</v>
      </c>
      <c r="F18" s="17">
        <f t="shared" si="0"/>
        <v>0.0395299870950214</v>
      </c>
      <c r="G18" s="16">
        <v>25876</v>
      </c>
      <c r="H18" s="16">
        <v>39148</v>
      </c>
      <c r="I18" s="24">
        <v>0.660978849494227</v>
      </c>
      <c r="J18" s="25">
        <v>10544</v>
      </c>
      <c r="K18" s="24">
        <v>0.269336875447022</v>
      </c>
      <c r="L18" s="16">
        <v>2475</v>
      </c>
      <c r="M18" s="24">
        <v>0.0632216205170124</v>
      </c>
      <c r="N18" s="26">
        <v>105100</v>
      </c>
      <c r="O18" s="27" t="s">
        <v>47</v>
      </c>
      <c r="P18" s="1">
        <v>1</v>
      </c>
      <c r="Q18" s="1">
        <v>0</v>
      </c>
      <c r="R18" s="1">
        <v>0</v>
      </c>
      <c r="S18" s="1">
        <v>3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1</v>
      </c>
      <c r="AB18" s="1">
        <v>0</v>
      </c>
      <c r="AC18" s="1">
        <v>0</v>
      </c>
      <c r="AD18" s="1">
        <v>0</v>
      </c>
      <c r="AE18" s="1">
        <v>47</v>
      </c>
      <c r="AF18" s="1">
        <v>60615</v>
      </c>
      <c r="AG18" s="33">
        <f t="shared" si="1"/>
        <v>0.000775385630619484</v>
      </c>
      <c r="AH18" s="1">
        <v>8</v>
      </c>
      <c r="AI18" s="1">
        <v>62</v>
      </c>
      <c r="AJ18" s="1">
        <v>4</v>
      </c>
    </row>
    <row r="19" s="2" customFormat="1" spans="1:36">
      <c r="A19" s="2" t="str">
        <f>VLOOKUP(B19,'[1]2. ISIC行业分类'!$A$2:$B$102,2,FALSE)</f>
        <v>C2100</v>
      </c>
      <c r="B19" s="14" t="s">
        <v>49</v>
      </c>
      <c r="C19" s="15" t="s">
        <v>37</v>
      </c>
      <c r="D19" s="16">
        <v>1286</v>
      </c>
      <c r="E19" s="16">
        <v>20247</v>
      </c>
      <c r="F19" s="17">
        <f t="shared" si="0"/>
        <v>0.0635155825554403</v>
      </c>
      <c r="G19" s="16">
        <v>19568</v>
      </c>
      <c r="H19" s="16">
        <v>41207</v>
      </c>
      <c r="I19" s="24">
        <v>0.474870774382993</v>
      </c>
      <c r="J19" s="25">
        <v>12632</v>
      </c>
      <c r="K19" s="24">
        <v>0.306549858033829</v>
      </c>
      <c r="L19" s="16">
        <v>2284</v>
      </c>
      <c r="M19" s="24">
        <v>0.0554274759142864</v>
      </c>
      <c r="N19" s="26">
        <v>77000</v>
      </c>
      <c r="O19" s="27" t="s">
        <v>50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25811</v>
      </c>
      <c r="AG19" s="33">
        <f t="shared" si="1"/>
        <v>0</v>
      </c>
      <c r="AH19" s="1">
        <v>34</v>
      </c>
      <c r="AI19" s="1">
        <v>2910</v>
      </c>
      <c r="AJ19" s="1">
        <v>863</v>
      </c>
    </row>
    <row r="20" s="1" customFormat="1" spans="1:36">
      <c r="A20" s="2" t="str">
        <f>VLOOKUP(B20,'[1]2. ISIC行业分类'!$A$2:$B$102,2,FALSE)</f>
        <v>C2100</v>
      </c>
      <c r="B20" s="14" t="s">
        <v>49</v>
      </c>
      <c r="C20" s="15" t="s">
        <v>39</v>
      </c>
      <c r="D20" s="16">
        <v>1371</v>
      </c>
      <c r="E20" s="16">
        <v>20405</v>
      </c>
      <c r="F20" s="17">
        <f t="shared" si="0"/>
        <v>0.0671894143592257</v>
      </c>
      <c r="G20" s="16">
        <v>19921</v>
      </c>
      <c r="H20" s="16">
        <v>41247</v>
      </c>
      <c r="I20" s="24">
        <v>0.48296845831212</v>
      </c>
      <c r="J20" s="25">
        <v>12383</v>
      </c>
      <c r="K20" s="24">
        <v>0.300215773268359</v>
      </c>
      <c r="L20" s="16">
        <v>4423</v>
      </c>
      <c r="M20" s="24">
        <v>0.107232041118142</v>
      </c>
      <c r="N20" s="26">
        <v>74000</v>
      </c>
      <c r="O20" s="27" t="s">
        <v>50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27574</v>
      </c>
      <c r="AG20" s="33">
        <f t="shared" si="1"/>
        <v>0</v>
      </c>
      <c r="AH20" s="1">
        <v>32</v>
      </c>
      <c r="AI20" s="1">
        <v>3122</v>
      </c>
      <c r="AJ20" s="1">
        <v>575</v>
      </c>
    </row>
    <row r="21" s="2" customFormat="1" spans="1:36">
      <c r="A21" s="2" t="str">
        <f>VLOOKUP(B21,'[1]2. ISIC行业分类'!$A$2:$B$102,2,FALSE)</f>
        <v>C2100</v>
      </c>
      <c r="B21" s="14" t="s">
        <v>49</v>
      </c>
      <c r="C21" s="15" t="s">
        <v>40</v>
      </c>
      <c r="D21" s="16">
        <v>1442</v>
      </c>
      <c r="E21" s="16">
        <v>20853</v>
      </c>
      <c r="F21" s="17">
        <f t="shared" si="0"/>
        <v>0.0691507217186975</v>
      </c>
      <c r="G21" s="16">
        <v>31949</v>
      </c>
      <c r="H21" s="16">
        <v>52666</v>
      </c>
      <c r="I21" s="24">
        <v>0.60663426119318</v>
      </c>
      <c r="J21" s="25">
        <v>12366</v>
      </c>
      <c r="K21" s="24">
        <v>0.234800440511905</v>
      </c>
      <c r="L21" s="16">
        <v>1400</v>
      </c>
      <c r="M21" s="24">
        <v>0.0265826149698097</v>
      </c>
      <c r="N21" s="26">
        <v>75000</v>
      </c>
      <c r="O21" s="27" t="s">
        <v>50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27790</v>
      </c>
      <c r="AG21" s="33">
        <f t="shared" si="1"/>
        <v>0</v>
      </c>
      <c r="AH21" s="1">
        <v>19</v>
      </c>
      <c r="AI21" s="1">
        <v>3102</v>
      </c>
      <c r="AJ21" s="1">
        <v>538</v>
      </c>
    </row>
    <row r="22" s="2" customFormat="1" spans="1:36">
      <c r="A22" s="2" t="str">
        <f>VLOOKUP(B22,'[1]2. ISIC行业分类'!$A$2:$B$102,2,FALSE)</f>
        <v>C2100</v>
      </c>
      <c r="B22" s="14" t="s">
        <v>49</v>
      </c>
      <c r="C22" s="15" t="s">
        <v>41</v>
      </c>
      <c r="D22" s="16">
        <v>2183</v>
      </c>
      <c r="E22" s="16">
        <v>27390</v>
      </c>
      <c r="F22" s="17">
        <f t="shared" si="0"/>
        <v>0.0797006206644761</v>
      </c>
      <c r="G22" s="16">
        <v>45152</v>
      </c>
      <c r="H22" s="16">
        <v>76250</v>
      </c>
      <c r="I22" s="24">
        <v>0.59215737704918</v>
      </c>
      <c r="J22" s="25">
        <v>15265</v>
      </c>
      <c r="K22" s="24">
        <v>0.200196721311475</v>
      </c>
      <c r="L22" s="16">
        <v>477</v>
      </c>
      <c r="M22" s="24">
        <v>0.00625573770491803</v>
      </c>
      <c r="N22" s="26">
        <v>99000</v>
      </c>
      <c r="O22" s="27" t="s">
        <v>50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38993</v>
      </c>
      <c r="AG22" s="33">
        <f t="shared" si="1"/>
        <v>0</v>
      </c>
      <c r="AH22" s="1">
        <v>64</v>
      </c>
      <c r="AI22" s="1">
        <v>3844</v>
      </c>
      <c r="AJ22" s="1">
        <v>1135</v>
      </c>
    </row>
    <row r="23" s="2" customFormat="1" spans="1:36">
      <c r="A23" s="2" t="str">
        <f>VLOOKUP(B23,'[1]2. ISIC行业分类'!$A$2:$B$102,2,FALSE)</f>
        <v>C2100</v>
      </c>
      <c r="B23" s="14" t="s">
        <v>49</v>
      </c>
      <c r="C23" s="15" t="s">
        <v>42</v>
      </c>
      <c r="D23" s="16">
        <v>2298</v>
      </c>
      <c r="E23" s="16">
        <v>30578</v>
      </c>
      <c r="F23" s="17">
        <f t="shared" si="0"/>
        <v>0.0751520701157695</v>
      </c>
      <c r="G23" s="16">
        <v>36451</v>
      </c>
      <c r="H23" s="16">
        <v>67173</v>
      </c>
      <c r="I23" s="24">
        <v>0.54264362169324</v>
      </c>
      <c r="J23" s="25">
        <v>15706</v>
      </c>
      <c r="K23" s="24">
        <v>0.233814181293079</v>
      </c>
      <c r="L23" s="16">
        <v>2368</v>
      </c>
      <c r="M23" s="24">
        <v>0.0352522590921948</v>
      </c>
      <c r="N23" s="26">
        <v>103000</v>
      </c>
      <c r="O23" s="27" t="s">
        <v>50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31634</v>
      </c>
      <c r="AG23" s="33">
        <f t="shared" si="1"/>
        <v>0</v>
      </c>
      <c r="AH23" s="1">
        <v>49</v>
      </c>
      <c r="AI23" s="1">
        <v>1861</v>
      </c>
      <c r="AJ23" s="1">
        <v>697</v>
      </c>
    </row>
    <row r="24" s="2" customFormat="1" spans="1:36">
      <c r="A24" s="2" t="str">
        <f>VLOOKUP(B24,'[1]2. ISIC行业分类'!$A$2:$B$102,2,FALSE)</f>
        <v>C2100</v>
      </c>
      <c r="B24" s="14" t="s">
        <v>49</v>
      </c>
      <c r="C24" s="15" t="s">
        <v>43</v>
      </c>
      <c r="D24" s="16">
        <v>2440</v>
      </c>
      <c r="E24" s="16">
        <v>31904</v>
      </c>
      <c r="F24" s="17">
        <f t="shared" si="0"/>
        <v>0.0764794383149448</v>
      </c>
      <c r="G24" s="16">
        <v>36586</v>
      </c>
      <c r="H24" s="16">
        <v>67887</v>
      </c>
      <c r="I24" s="24">
        <v>0.538924978272718</v>
      </c>
      <c r="J24" s="25">
        <v>17733</v>
      </c>
      <c r="K24" s="24">
        <v>0.2612134871183</v>
      </c>
      <c r="L24" s="16">
        <v>3687</v>
      </c>
      <c r="M24" s="24">
        <v>0.0543108400724734</v>
      </c>
      <c r="N24" s="26">
        <v>107000</v>
      </c>
      <c r="O24" s="27" t="s">
        <v>50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2</v>
      </c>
      <c r="AF24" s="1">
        <v>30627</v>
      </c>
      <c r="AG24" s="33">
        <f t="shared" si="1"/>
        <v>6.53018578378555e-5</v>
      </c>
      <c r="AH24" s="1">
        <v>23</v>
      </c>
      <c r="AI24" s="1">
        <v>768</v>
      </c>
      <c r="AJ24" s="1">
        <v>325</v>
      </c>
    </row>
    <row r="25" s="2" customFormat="1" spans="1:36">
      <c r="A25" s="2" t="str">
        <f>VLOOKUP(B25,'[1]2. ISIC行业分类'!$A$2:$B$102,2,FALSE)</f>
        <v>C2100</v>
      </c>
      <c r="B25" s="14" t="s">
        <v>49</v>
      </c>
      <c r="C25" s="15" t="s">
        <v>44</v>
      </c>
      <c r="D25" s="16">
        <v>2420</v>
      </c>
      <c r="E25" s="16">
        <v>34608</v>
      </c>
      <c r="F25" s="17">
        <f t="shared" si="0"/>
        <v>0.0699260286638927</v>
      </c>
      <c r="G25" s="16">
        <v>39545</v>
      </c>
      <c r="H25" s="16">
        <v>72548</v>
      </c>
      <c r="I25" s="24">
        <v>0.545087390417379</v>
      </c>
      <c r="J25" s="25">
        <v>19894</v>
      </c>
      <c r="K25" s="24">
        <v>0.274218448475492</v>
      </c>
      <c r="L25" s="16">
        <v>4495</v>
      </c>
      <c r="M25" s="24">
        <v>0.0619589788829465</v>
      </c>
      <c r="N25" s="26">
        <v>109000</v>
      </c>
      <c r="O25" s="27" t="s">
        <v>50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26557</v>
      </c>
      <c r="AG25" s="33">
        <f t="shared" si="1"/>
        <v>0</v>
      </c>
      <c r="AH25" s="1">
        <v>20</v>
      </c>
      <c r="AI25" s="1">
        <v>377</v>
      </c>
      <c r="AJ25" s="1">
        <v>72</v>
      </c>
    </row>
    <row r="26" s="2" customFormat="1" spans="1:36">
      <c r="A26" s="2" t="str">
        <f>VLOOKUP(B26,'[1]2. ISIC行业分类'!$A$2:$B$102,2,FALSE)</f>
        <v>C2100</v>
      </c>
      <c r="B26" s="14" t="s">
        <v>49</v>
      </c>
      <c r="C26" s="15" t="s">
        <v>45</v>
      </c>
      <c r="D26" s="16">
        <v>2738</v>
      </c>
      <c r="E26" s="16">
        <v>43075</v>
      </c>
      <c r="F26" s="17">
        <f t="shared" si="0"/>
        <v>0.0635635519442832</v>
      </c>
      <c r="G26" s="16">
        <v>39172</v>
      </c>
      <c r="H26" s="16">
        <v>75196</v>
      </c>
      <c r="I26" s="24">
        <v>0.520931964466195</v>
      </c>
      <c r="J26" s="25">
        <v>20517</v>
      </c>
      <c r="K26" s="24">
        <v>0.272846959944678</v>
      </c>
      <c r="L26" s="16">
        <v>7071</v>
      </c>
      <c r="M26" s="24">
        <v>0.0940342571413373</v>
      </c>
      <c r="N26" s="26">
        <v>113000</v>
      </c>
      <c r="O26" s="27" t="s">
        <v>50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26504</v>
      </c>
      <c r="AG26" s="33">
        <f t="shared" si="1"/>
        <v>0</v>
      </c>
      <c r="AH26" s="1">
        <v>7</v>
      </c>
      <c r="AI26" s="1">
        <v>141</v>
      </c>
      <c r="AJ26" s="1">
        <v>21</v>
      </c>
    </row>
    <row r="27" s="2" customFormat="1" spans="1:36">
      <c r="A27" s="2" t="str">
        <f>VLOOKUP(B27,'[1]2. ISIC行业分类'!$A$2:$B$102,2,FALSE)</f>
        <v>C2100</v>
      </c>
      <c r="B27" s="14" t="s">
        <v>49</v>
      </c>
      <c r="C27" s="15" t="s">
        <v>48</v>
      </c>
      <c r="D27" s="16">
        <v>2741</v>
      </c>
      <c r="E27" s="16">
        <v>43653</v>
      </c>
      <c r="F27" s="17">
        <f t="shared" si="0"/>
        <v>0.0627906444001558</v>
      </c>
      <c r="G27" s="16">
        <v>37533</v>
      </c>
      <c r="H27" s="16">
        <v>74438</v>
      </c>
      <c r="I27" s="24">
        <v>0.504218275611919</v>
      </c>
      <c r="J27" s="25">
        <v>21328</v>
      </c>
      <c r="K27" s="24">
        <v>0.28652032564013</v>
      </c>
      <c r="L27" s="16">
        <v>6933</v>
      </c>
      <c r="M27" s="24">
        <v>0.093137913431312</v>
      </c>
      <c r="N27" s="26">
        <v>115000</v>
      </c>
      <c r="O27" s="27" t="s">
        <v>50</v>
      </c>
      <c r="P27" s="1">
        <v>2</v>
      </c>
      <c r="Q27" s="1">
        <v>1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6</v>
      </c>
      <c r="AF27" s="1">
        <v>26051</v>
      </c>
      <c r="AG27" s="33">
        <f t="shared" si="1"/>
        <v>0.000230317454224406</v>
      </c>
      <c r="AH27" s="1">
        <v>3</v>
      </c>
      <c r="AI27" s="1">
        <v>43</v>
      </c>
      <c r="AJ27" s="1">
        <v>1</v>
      </c>
    </row>
    <row r="28" s="2" customFormat="1" spans="1:36">
      <c r="A28" s="2" t="str">
        <f>VLOOKUP(B28,'[1]2. ISIC行业分类'!$A$2:$B$102,2,FALSE)</f>
        <v>C2592</v>
      </c>
      <c r="B28" s="14" t="s">
        <v>51</v>
      </c>
      <c r="C28" s="15" t="s">
        <v>37</v>
      </c>
      <c r="D28" s="16">
        <v>0</v>
      </c>
      <c r="E28" s="16">
        <v>242.60792</v>
      </c>
      <c r="F28" s="17">
        <f t="shared" si="0"/>
        <v>0</v>
      </c>
      <c r="G28" s="16">
        <v>153.01804</v>
      </c>
      <c r="H28" s="16">
        <v>221.93968</v>
      </c>
      <c r="I28" s="24">
        <v>0.68945778420515</v>
      </c>
      <c r="J28" s="25">
        <v>268.12133</v>
      </c>
      <c r="K28" s="24">
        <v>1.20808198876379</v>
      </c>
      <c r="L28" s="16">
        <v>1.90465</v>
      </c>
      <c r="M28" s="24">
        <v>0.00858183628993247</v>
      </c>
      <c r="N28" s="26">
        <v>0</v>
      </c>
      <c r="O28" s="27" t="s">
        <v>52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2</v>
      </c>
      <c r="AF28" s="1">
        <v>25881</v>
      </c>
      <c r="AG28" s="33">
        <f t="shared" si="1"/>
        <v>7.72767667400796e-5</v>
      </c>
      <c r="AH28" s="1">
        <v>1</v>
      </c>
      <c r="AI28" s="1">
        <v>17</v>
      </c>
      <c r="AJ28" s="1">
        <v>12</v>
      </c>
    </row>
    <row r="29" s="2" customFormat="1" spans="1:36">
      <c r="A29" s="2" t="str">
        <f>VLOOKUP(B29,'[1]2. ISIC行业分类'!$A$2:$B$102,2,FALSE)</f>
        <v>C2592</v>
      </c>
      <c r="B29" s="18" t="s">
        <v>51</v>
      </c>
      <c r="C29" s="19">
        <v>2015</v>
      </c>
      <c r="D29" s="20">
        <v>0</v>
      </c>
      <c r="E29" s="20">
        <v>217.1932</v>
      </c>
      <c r="F29" s="17">
        <f t="shared" si="0"/>
        <v>0</v>
      </c>
      <c r="G29" s="20">
        <v>136.41694</v>
      </c>
      <c r="H29" s="20">
        <v>200.94985</v>
      </c>
      <c r="I29" s="28">
        <v>0.678860621194791</v>
      </c>
      <c r="J29" s="29">
        <v>257.07794</v>
      </c>
      <c r="K29" s="28">
        <v>1.27931391837317</v>
      </c>
      <c r="L29" s="20">
        <v>0.59928</v>
      </c>
      <c r="M29" s="28">
        <v>0.00298223661276682</v>
      </c>
      <c r="N29" s="30">
        <v>1482</v>
      </c>
      <c r="O29" s="31" t="s">
        <v>52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2</v>
      </c>
      <c r="AF29" s="1">
        <v>26578</v>
      </c>
      <c r="AG29" s="33">
        <f t="shared" si="1"/>
        <v>7.52502069380691e-5</v>
      </c>
      <c r="AH29" s="2">
        <v>0</v>
      </c>
      <c r="AI29" s="2">
        <v>0</v>
      </c>
      <c r="AJ29" s="2">
        <v>0</v>
      </c>
    </row>
    <row r="30" s="2" customFormat="1" spans="1:36">
      <c r="A30" s="2" t="str">
        <f>VLOOKUP(B30,'[1]2. ISIC行业分类'!$A$2:$B$102,2,FALSE)</f>
        <v>C2592</v>
      </c>
      <c r="B30" s="14" t="s">
        <v>51</v>
      </c>
      <c r="C30" s="15" t="s">
        <v>40</v>
      </c>
      <c r="D30" s="16">
        <v>0</v>
      </c>
      <c r="E30" s="16">
        <v>228.78182</v>
      </c>
      <c r="F30" s="17">
        <f t="shared" si="0"/>
        <v>0</v>
      </c>
      <c r="G30" s="16">
        <v>59.38491</v>
      </c>
      <c r="H30" s="16">
        <v>190.54717</v>
      </c>
      <c r="I30" s="24">
        <v>0.311654641735167</v>
      </c>
      <c r="J30" s="25">
        <v>162.01146</v>
      </c>
      <c r="K30" s="24">
        <v>0.850243328200571</v>
      </c>
      <c r="L30" s="16">
        <v>39.12757</v>
      </c>
      <c r="M30" s="24">
        <v>0.205343222888065</v>
      </c>
      <c r="N30" s="26">
        <v>1341</v>
      </c>
      <c r="O30" s="27" t="s">
        <v>52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4</v>
      </c>
      <c r="AF30" s="1">
        <v>30543</v>
      </c>
      <c r="AG30" s="33">
        <f t="shared" si="1"/>
        <v>0.000130962904757228</v>
      </c>
      <c r="AH30" s="1">
        <v>1</v>
      </c>
      <c r="AI30" s="1">
        <v>13</v>
      </c>
      <c r="AJ30" s="1">
        <v>0</v>
      </c>
    </row>
    <row r="31" s="2" customFormat="1" spans="1:36">
      <c r="A31" s="2" t="str">
        <f>VLOOKUP(B31,'[1]2. ISIC行业分类'!$A$2:$B$102,2,FALSE)</f>
        <v>C2592</v>
      </c>
      <c r="B31" s="14" t="s">
        <v>51</v>
      </c>
      <c r="C31" s="15" t="s">
        <v>41</v>
      </c>
      <c r="D31" s="16">
        <v>0</v>
      </c>
      <c r="E31" s="16">
        <v>205.61792</v>
      </c>
      <c r="F31" s="17">
        <f t="shared" si="0"/>
        <v>0</v>
      </c>
      <c r="G31" s="16">
        <v>57.09551</v>
      </c>
      <c r="H31" s="16">
        <v>177.44623</v>
      </c>
      <c r="I31" s="24">
        <v>0.321762316392971</v>
      </c>
      <c r="J31" s="25">
        <v>177.3426</v>
      </c>
      <c r="K31" s="24">
        <v>0.999415992100818</v>
      </c>
      <c r="L31" s="16">
        <v>8.97533</v>
      </c>
      <c r="M31" s="24">
        <v>0.0505805617848291</v>
      </c>
      <c r="N31" s="26">
        <v>1399</v>
      </c>
      <c r="O31" s="27" t="s">
        <v>52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2</v>
      </c>
      <c r="AF31" s="1">
        <v>30896</v>
      </c>
      <c r="AG31" s="33">
        <f t="shared" si="1"/>
        <v>6.47332988089073e-5</v>
      </c>
      <c r="AH31" s="1">
        <v>1</v>
      </c>
      <c r="AI31" s="1">
        <v>5</v>
      </c>
      <c r="AJ31" s="1">
        <v>1</v>
      </c>
    </row>
    <row r="32" s="2" customFormat="1" spans="1:36">
      <c r="A32" s="2" t="str">
        <f>VLOOKUP(B32,'[1]2. ISIC行业分类'!$A$2:$B$102,2,FALSE)</f>
        <v>C2592</v>
      </c>
      <c r="B32" s="14" t="s">
        <v>51</v>
      </c>
      <c r="C32" s="15" t="s">
        <v>42</v>
      </c>
      <c r="D32" s="16">
        <v>0</v>
      </c>
      <c r="E32" s="16">
        <v>194.55567</v>
      </c>
      <c r="F32" s="17">
        <f t="shared" si="0"/>
        <v>0</v>
      </c>
      <c r="G32" s="16">
        <v>56.97386</v>
      </c>
      <c r="H32" s="16">
        <v>182.5125</v>
      </c>
      <c r="I32" s="24">
        <v>0.312164153140196</v>
      </c>
      <c r="J32" s="25">
        <v>171.50596</v>
      </c>
      <c r="K32" s="24">
        <v>0.939694322306691</v>
      </c>
      <c r="L32" s="16">
        <v>8.91398</v>
      </c>
      <c r="M32" s="24">
        <v>0.0488403807958359</v>
      </c>
      <c r="N32" s="26">
        <v>1288</v>
      </c>
      <c r="O32" s="27" t="s">
        <v>52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2</v>
      </c>
      <c r="AF32" s="1">
        <v>29248</v>
      </c>
      <c r="AG32" s="33">
        <f t="shared" si="1"/>
        <v>6.83807439824945e-5</v>
      </c>
      <c r="AH32" s="1">
        <v>1</v>
      </c>
      <c r="AI32" s="1">
        <v>9</v>
      </c>
      <c r="AJ32" s="1">
        <v>3</v>
      </c>
    </row>
    <row r="33" s="2" customFormat="1" spans="1:36">
      <c r="A33" s="2" t="str">
        <f>VLOOKUP(B33,'[1]2. ISIC行业分类'!$A$2:$B$102,2,FALSE)</f>
        <v>C2592</v>
      </c>
      <c r="B33" s="14" t="s">
        <v>51</v>
      </c>
      <c r="C33" s="15" t="s">
        <v>43</v>
      </c>
      <c r="D33" s="16">
        <v>0</v>
      </c>
      <c r="E33" s="16">
        <v>179.26876</v>
      </c>
      <c r="F33" s="17">
        <f t="shared" si="0"/>
        <v>0</v>
      </c>
      <c r="G33" s="16">
        <v>37.15268</v>
      </c>
      <c r="H33" s="16">
        <v>167.62279</v>
      </c>
      <c r="I33" s="24">
        <v>0.221644562770969</v>
      </c>
      <c r="J33" s="25">
        <v>203.23906</v>
      </c>
      <c r="K33" s="24">
        <v>1.21247868502845</v>
      </c>
      <c r="L33" s="16">
        <v>8.93143</v>
      </c>
      <c r="M33" s="24">
        <v>0.0532829098000338</v>
      </c>
      <c r="N33" s="26">
        <v>1179</v>
      </c>
      <c r="O33" s="27" t="s">
        <v>52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4</v>
      </c>
      <c r="AF33" s="1">
        <v>26943</v>
      </c>
      <c r="AG33" s="33">
        <f t="shared" si="1"/>
        <v>0.00014846156701184</v>
      </c>
      <c r="AH33" s="1">
        <v>3</v>
      </c>
      <c r="AI33" s="1">
        <v>28</v>
      </c>
      <c r="AJ33" s="1">
        <v>6</v>
      </c>
    </row>
    <row r="34" s="2" customFormat="1" spans="1:36">
      <c r="A34" s="2" t="str">
        <f>VLOOKUP(B34,'[1]2. ISIC行业分类'!$A$2:$B$102,2,FALSE)</f>
        <v>C2100</v>
      </c>
      <c r="B34" s="14" t="s">
        <v>53</v>
      </c>
      <c r="C34" s="15" t="s">
        <v>43</v>
      </c>
      <c r="D34" s="16">
        <v>690</v>
      </c>
      <c r="E34" s="16">
        <v>7508</v>
      </c>
      <c r="F34" s="17">
        <f t="shared" si="0"/>
        <v>0.0919019712306873</v>
      </c>
      <c r="G34" s="16">
        <v>8352</v>
      </c>
      <c r="H34" s="16">
        <v>27655</v>
      </c>
      <c r="I34" s="24">
        <v>0.302006870367022</v>
      </c>
      <c r="J34" s="25">
        <v>5712</v>
      </c>
      <c r="K34" s="24">
        <v>0.206544928584343</v>
      </c>
      <c r="L34" s="16">
        <v>-656</v>
      </c>
      <c r="M34" s="24">
        <v>-0.0237208461399385</v>
      </c>
      <c r="N34" s="26">
        <v>22142</v>
      </c>
      <c r="O34" s="27" t="s">
        <v>54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2</v>
      </c>
      <c r="AF34" s="1">
        <v>86626</v>
      </c>
      <c r="AG34" s="33">
        <f t="shared" si="1"/>
        <v>2.30877565626948e-5</v>
      </c>
      <c r="AH34" s="1">
        <v>41</v>
      </c>
      <c r="AI34" s="1">
        <v>1238</v>
      </c>
      <c r="AJ34" s="1">
        <v>193</v>
      </c>
    </row>
    <row r="35" s="2" customFormat="1" spans="1:36">
      <c r="A35" s="2" t="str">
        <f>VLOOKUP(B35,'[1]2. ISIC行业分类'!$A$2:$B$102,2,FALSE)</f>
        <v>C2100</v>
      </c>
      <c r="B35" s="14" t="s">
        <v>53</v>
      </c>
      <c r="C35" s="15" t="s">
        <v>44</v>
      </c>
      <c r="D35" s="16">
        <v>675</v>
      </c>
      <c r="E35" s="16">
        <v>6833</v>
      </c>
      <c r="F35" s="17">
        <f t="shared" si="0"/>
        <v>0.098785306600322</v>
      </c>
      <c r="G35" s="16">
        <v>8778</v>
      </c>
      <c r="H35" s="16">
        <v>27600</v>
      </c>
      <c r="I35" s="24">
        <v>0.31804347826087</v>
      </c>
      <c r="J35" s="25">
        <v>6275</v>
      </c>
      <c r="K35" s="24">
        <v>0.227355072463768</v>
      </c>
      <c r="L35" s="16">
        <v>-531</v>
      </c>
      <c r="M35" s="24">
        <v>-0.0192391304347826</v>
      </c>
      <c r="N35" s="26">
        <v>23655</v>
      </c>
      <c r="O35" s="27" t="s">
        <v>54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4</v>
      </c>
      <c r="AF35" s="1">
        <v>85180</v>
      </c>
      <c r="AG35" s="33">
        <f t="shared" si="1"/>
        <v>4.69593801361822e-5</v>
      </c>
      <c r="AH35" s="1">
        <v>8</v>
      </c>
      <c r="AI35" s="1">
        <v>379</v>
      </c>
      <c r="AJ35" s="1">
        <v>44</v>
      </c>
    </row>
    <row r="36" s="2" customFormat="1" spans="1:36">
      <c r="A36" s="2" t="str">
        <f>VLOOKUP(B36,'[1]2. ISIC行业分类'!$A$2:$B$102,2,FALSE)</f>
        <v>C2100</v>
      </c>
      <c r="B36" s="14" t="s">
        <v>53</v>
      </c>
      <c r="C36" s="15" t="s">
        <v>45</v>
      </c>
      <c r="D36" s="16">
        <v>703</v>
      </c>
      <c r="E36" s="16">
        <v>8291</v>
      </c>
      <c r="F36" s="17">
        <f t="shared" si="0"/>
        <v>0.0847907369436739</v>
      </c>
      <c r="G36" s="16">
        <v>8743</v>
      </c>
      <c r="H36" s="16">
        <v>27999</v>
      </c>
      <c r="I36" s="24">
        <v>0.312261152184007</v>
      </c>
      <c r="J36" s="25">
        <v>6732</v>
      </c>
      <c r="K36" s="24">
        <v>0.240437158469945</v>
      </c>
      <c r="L36" s="16">
        <v>376</v>
      </c>
      <c r="M36" s="24">
        <v>0.0134290510375371</v>
      </c>
      <c r="N36" s="26">
        <v>24389</v>
      </c>
      <c r="O36" s="27" t="s">
        <v>54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2</v>
      </c>
      <c r="AF36" s="1">
        <v>80386</v>
      </c>
      <c r="AG36" s="33">
        <f t="shared" si="1"/>
        <v>2.48799542208842e-5</v>
      </c>
      <c r="AH36" s="1">
        <v>10</v>
      </c>
      <c r="AI36" s="1">
        <v>751</v>
      </c>
      <c r="AJ36" s="1">
        <v>34</v>
      </c>
    </row>
    <row r="37" s="2" customFormat="1" spans="1:36">
      <c r="A37" s="2" t="str">
        <f>VLOOKUP(B37,'[1]2. ISIC行业分类'!$A$2:$B$102,2,FALSE)</f>
        <v>C2610</v>
      </c>
      <c r="B37" s="14" t="s">
        <v>55</v>
      </c>
      <c r="C37" s="15" t="s">
        <v>37</v>
      </c>
      <c r="D37" s="16">
        <v>93.22883</v>
      </c>
      <c r="E37" s="16">
        <v>562.08921</v>
      </c>
      <c r="F37" s="17">
        <f t="shared" si="0"/>
        <v>0.165861269601671</v>
      </c>
      <c r="G37" s="16">
        <v>483.20523</v>
      </c>
      <c r="H37" s="16">
        <v>1155.92084</v>
      </c>
      <c r="I37" s="24">
        <v>0.418026229200955</v>
      </c>
      <c r="J37" s="25">
        <v>670.348</v>
      </c>
      <c r="K37" s="24">
        <v>0.579925525003944</v>
      </c>
      <c r="L37" s="16">
        <v>118.06573</v>
      </c>
      <c r="M37" s="24">
        <v>0.102139978720342</v>
      </c>
      <c r="N37" s="26">
        <v>1700</v>
      </c>
      <c r="O37" s="27" t="s">
        <v>56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27053</v>
      </c>
      <c r="AG37" s="33">
        <f t="shared" si="1"/>
        <v>0</v>
      </c>
      <c r="AH37" s="1">
        <v>81</v>
      </c>
      <c r="AI37" s="1">
        <v>1250</v>
      </c>
      <c r="AJ37" s="1">
        <v>617</v>
      </c>
    </row>
    <row r="38" s="2" customFormat="1" spans="1:36">
      <c r="A38" s="2" t="str">
        <f>VLOOKUP(B38,'[1]2. ISIC行业分类'!$A$2:$B$102,2,FALSE)</f>
        <v>C2610</v>
      </c>
      <c r="B38" s="14" t="s">
        <v>55</v>
      </c>
      <c r="C38" s="15" t="s">
        <v>39</v>
      </c>
      <c r="D38" s="16">
        <v>117.04589</v>
      </c>
      <c r="E38" s="16">
        <v>676.73093</v>
      </c>
      <c r="F38" s="17">
        <f t="shared" si="0"/>
        <v>0.172957795796329</v>
      </c>
      <c r="G38" s="16">
        <v>588.83736</v>
      </c>
      <c r="H38" s="16">
        <v>1328.6788</v>
      </c>
      <c r="I38" s="24">
        <v>0.443175099956438</v>
      </c>
      <c r="J38" s="25">
        <v>685.33044</v>
      </c>
      <c r="K38" s="24">
        <v>0.515798430741877</v>
      </c>
      <c r="L38" s="16">
        <v>161.46294</v>
      </c>
      <c r="M38" s="24">
        <v>0.121521424139529</v>
      </c>
      <c r="N38" s="26">
        <v>2100</v>
      </c>
      <c r="O38" s="27" t="s">
        <v>56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2</v>
      </c>
      <c r="AF38" s="1">
        <v>27968</v>
      </c>
      <c r="AG38" s="33">
        <f t="shared" si="1"/>
        <v>7.15102974828375e-5</v>
      </c>
      <c r="AH38" s="1">
        <v>97</v>
      </c>
      <c r="AI38" s="1">
        <v>2112</v>
      </c>
      <c r="AJ38" s="1">
        <v>1685</v>
      </c>
    </row>
    <row r="39" s="2" customFormat="1" spans="1:36">
      <c r="A39" s="2" t="str">
        <f>VLOOKUP(B39,'[1]2. ISIC行业分类'!$A$2:$B$102,2,FALSE)</f>
        <v>C2610</v>
      </c>
      <c r="B39" s="14" t="s">
        <v>55</v>
      </c>
      <c r="C39" s="15" t="s">
        <v>40</v>
      </c>
      <c r="D39" s="16">
        <v>146.30001</v>
      </c>
      <c r="E39" s="16">
        <v>580.53415</v>
      </c>
      <c r="F39" s="17">
        <f t="shared" si="0"/>
        <v>0.252009309013087</v>
      </c>
      <c r="G39" s="16">
        <v>797.45804</v>
      </c>
      <c r="H39" s="16">
        <v>1502.15138</v>
      </c>
      <c r="I39" s="24">
        <v>0.530877280823721</v>
      </c>
      <c r="J39" s="25">
        <v>750.05595</v>
      </c>
      <c r="K39" s="24">
        <v>0.499321146980539</v>
      </c>
      <c r="L39" s="16">
        <v>108.6224</v>
      </c>
      <c r="M39" s="24">
        <v>0.0723112207239726</v>
      </c>
      <c r="N39" s="26">
        <v>2175</v>
      </c>
      <c r="O39" s="27" t="s">
        <v>56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28871</v>
      </c>
      <c r="AG39" s="33">
        <f t="shared" si="1"/>
        <v>0</v>
      </c>
      <c r="AH39" s="1">
        <v>117</v>
      </c>
      <c r="AI39" s="1">
        <v>1642</v>
      </c>
      <c r="AJ39" s="1">
        <v>750</v>
      </c>
    </row>
    <row r="40" s="1" customFormat="1" spans="1:36">
      <c r="A40" s="2" t="str">
        <f>VLOOKUP(B40,'[1]2. ISIC行业分类'!$A$2:$B$102,2,FALSE)</f>
        <v>C2610</v>
      </c>
      <c r="B40" s="14" t="s">
        <v>55</v>
      </c>
      <c r="C40" s="15" t="s">
        <v>41</v>
      </c>
      <c r="D40" s="16">
        <v>256.95845</v>
      </c>
      <c r="E40" s="16">
        <v>1277.3451</v>
      </c>
      <c r="F40" s="17">
        <f t="shared" si="0"/>
        <v>0.201166035709535</v>
      </c>
      <c r="G40" s="16">
        <v>2921.0891</v>
      </c>
      <c r="H40" s="16">
        <v>3916.08429</v>
      </c>
      <c r="I40" s="24">
        <v>0.745920895385017</v>
      </c>
      <c r="J40" s="25">
        <v>1854.89673</v>
      </c>
      <c r="K40" s="24">
        <v>0.473661084041682</v>
      </c>
      <c r="L40" s="16">
        <v>106.5622</v>
      </c>
      <c r="M40" s="24">
        <v>0.0272114163303671</v>
      </c>
      <c r="N40" s="26">
        <v>11168</v>
      </c>
      <c r="O40" s="27" t="s">
        <v>56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31907</v>
      </c>
      <c r="AG40" s="33">
        <f t="shared" si="1"/>
        <v>0</v>
      </c>
      <c r="AH40" s="1">
        <v>120</v>
      </c>
      <c r="AI40" s="1">
        <v>1743</v>
      </c>
      <c r="AJ40" s="1">
        <v>748</v>
      </c>
    </row>
    <row r="41" s="1" customFormat="1" spans="1:36">
      <c r="A41" s="2" t="str">
        <f>VLOOKUP(B41,'[1]2. ISIC行业分类'!$A$2:$B$102,2,FALSE)</f>
        <v>C2610</v>
      </c>
      <c r="B41" s="14" t="s">
        <v>55</v>
      </c>
      <c r="C41" s="15" t="s">
        <v>42</v>
      </c>
      <c r="D41" s="16">
        <v>273.71651</v>
      </c>
      <c r="E41" s="16">
        <v>1633.05015</v>
      </c>
      <c r="F41" s="17">
        <f t="shared" si="0"/>
        <v>0.167610596649466</v>
      </c>
      <c r="G41" s="16">
        <v>2622.83032</v>
      </c>
      <c r="H41" s="16">
        <v>4104.11495</v>
      </c>
      <c r="I41" s="24">
        <v>0.639073308607012</v>
      </c>
      <c r="J41" s="25">
        <v>2130.05152</v>
      </c>
      <c r="K41" s="24">
        <v>0.519003864645653</v>
      </c>
      <c r="L41" s="16">
        <v>106.95672</v>
      </c>
      <c r="M41" s="24">
        <v>0.0260608490022922</v>
      </c>
      <c r="N41" s="26">
        <v>9884</v>
      </c>
      <c r="O41" s="27" t="s">
        <v>56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33992</v>
      </c>
      <c r="AG41" s="33">
        <f t="shared" si="1"/>
        <v>0</v>
      </c>
      <c r="AH41" s="1">
        <v>75</v>
      </c>
      <c r="AI41" s="1">
        <v>1036</v>
      </c>
      <c r="AJ41" s="1">
        <v>206</v>
      </c>
    </row>
    <row r="42" s="2" customFormat="1" spans="1:36">
      <c r="A42" s="2" t="str">
        <f>VLOOKUP(B42,'[1]2. ISIC行业分类'!$A$2:$B$102,2,FALSE)</f>
        <v>C2610</v>
      </c>
      <c r="B42" s="14" t="s">
        <v>55</v>
      </c>
      <c r="C42" s="15" t="s">
        <v>43</v>
      </c>
      <c r="D42" s="16">
        <v>292.89642</v>
      </c>
      <c r="E42" s="16">
        <v>2115.36303</v>
      </c>
      <c r="F42" s="17">
        <f t="shared" si="0"/>
        <v>0.138461538679722</v>
      </c>
      <c r="G42" s="16">
        <v>3078.21793</v>
      </c>
      <c r="H42" s="16">
        <v>4974.75031</v>
      </c>
      <c r="I42" s="24">
        <v>0.618768327691204</v>
      </c>
      <c r="J42" s="25">
        <v>2339.80474</v>
      </c>
      <c r="K42" s="24">
        <v>0.470336116226103</v>
      </c>
      <c r="L42" s="16">
        <v>336.66255</v>
      </c>
      <c r="M42" s="24">
        <v>0.0676742608213436</v>
      </c>
      <c r="N42" s="26">
        <v>8609</v>
      </c>
      <c r="O42" s="27" t="s">
        <v>56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36529</v>
      </c>
      <c r="AG42" s="33">
        <f t="shared" si="1"/>
        <v>0</v>
      </c>
      <c r="AH42" s="1">
        <v>35</v>
      </c>
      <c r="AI42" s="1">
        <v>411</v>
      </c>
      <c r="AJ42" s="1">
        <v>81</v>
      </c>
    </row>
    <row r="43" s="2" customFormat="1" spans="1:36">
      <c r="A43" s="2" t="str">
        <f>VLOOKUP(B43,'[1]2. ISIC行业分类'!$A$2:$B$102,2,FALSE)</f>
        <v>C2610</v>
      </c>
      <c r="B43" s="14" t="s">
        <v>55</v>
      </c>
      <c r="C43" s="15" t="s">
        <v>44</v>
      </c>
      <c r="D43" s="16">
        <v>517.43119</v>
      </c>
      <c r="E43" s="16">
        <v>4286.23853</v>
      </c>
      <c r="F43" s="17">
        <f t="shared" si="0"/>
        <v>0.120719177520902</v>
      </c>
      <c r="G43" s="16">
        <v>8484.40367</v>
      </c>
      <c r="H43" s="16">
        <v>12187.15596</v>
      </c>
      <c r="I43" s="24">
        <v>0.696175850858644</v>
      </c>
      <c r="J43" s="25">
        <v>7297.85933</v>
      </c>
      <c r="K43" s="24">
        <v>0.598815618176433</v>
      </c>
      <c r="L43" s="16">
        <v>-15.90214</v>
      </c>
      <c r="M43" s="24">
        <v>-0.0013048278082428</v>
      </c>
      <c r="N43" s="26">
        <v>29753</v>
      </c>
      <c r="O43" s="27" t="s">
        <v>56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2</v>
      </c>
      <c r="AF43" s="1">
        <v>44027</v>
      </c>
      <c r="AG43" s="33">
        <f t="shared" si="1"/>
        <v>4.54266699979558e-5</v>
      </c>
      <c r="AH43" s="1">
        <v>10</v>
      </c>
      <c r="AI43" s="1">
        <v>142</v>
      </c>
      <c r="AJ43" s="1">
        <v>7</v>
      </c>
    </row>
    <row r="44" s="2" customFormat="1" spans="1:36">
      <c r="A44" s="2" t="str">
        <f>VLOOKUP(B44,'[1]2. ISIC行业分类'!$A$2:$B$102,2,FALSE)</f>
        <v>C2610</v>
      </c>
      <c r="B44" s="14" t="s">
        <v>55</v>
      </c>
      <c r="C44" s="15" t="s">
        <v>45</v>
      </c>
      <c r="D44" s="16">
        <v>786.98965</v>
      </c>
      <c r="E44" s="16">
        <v>5729.55761</v>
      </c>
      <c r="F44" s="17">
        <f t="shared" si="0"/>
        <v>0.13735609336163</v>
      </c>
      <c r="G44" s="16">
        <v>7385.42022</v>
      </c>
      <c r="H44" s="16">
        <v>10967.81531</v>
      </c>
      <c r="I44" s="24">
        <v>0.673372044591805</v>
      </c>
      <c r="J44" s="25">
        <v>6695.09838</v>
      </c>
      <c r="K44" s="24">
        <v>0.610431356725681</v>
      </c>
      <c r="L44" s="16">
        <v>-35.25532</v>
      </c>
      <c r="M44" s="24">
        <v>-0.00321443414239987</v>
      </c>
      <c r="N44" s="26">
        <v>24499</v>
      </c>
      <c r="O44" s="27" t="s">
        <v>56</v>
      </c>
      <c r="P44" s="1">
        <v>1</v>
      </c>
      <c r="Q44" s="1">
        <v>1</v>
      </c>
      <c r="R44" s="1">
        <v>0</v>
      </c>
      <c r="S44" s="1">
        <v>1</v>
      </c>
      <c r="T44" s="1">
        <v>1</v>
      </c>
      <c r="U44" s="1">
        <v>1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9</v>
      </c>
      <c r="AF44" s="1">
        <v>49232</v>
      </c>
      <c r="AG44" s="33">
        <f t="shared" si="1"/>
        <v>0.000182807929801755</v>
      </c>
      <c r="AH44" s="1">
        <v>1</v>
      </c>
      <c r="AI44" s="1">
        <v>8</v>
      </c>
      <c r="AJ44" s="1">
        <v>0</v>
      </c>
    </row>
    <row r="45" s="2" customFormat="1" spans="1:36">
      <c r="A45" s="2" t="str">
        <f>VLOOKUP(B45,'[1]2. ISIC行业分类'!$A$2:$B$102,2,FALSE)</f>
        <v>C2511</v>
      </c>
      <c r="B45" s="14" t="s">
        <v>57</v>
      </c>
      <c r="C45" s="15" t="s">
        <v>37</v>
      </c>
      <c r="D45" s="16">
        <v>17.0508</v>
      </c>
      <c r="E45" s="16">
        <v>1026.63486</v>
      </c>
      <c r="F45" s="17">
        <f t="shared" si="0"/>
        <v>0.0166084366159162</v>
      </c>
      <c r="G45" s="16">
        <v>610.55307</v>
      </c>
      <c r="H45" s="16">
        <v>975.93219</v>
      </c>
      <c r="I45" s="24">
        <v>0.625610135884543</v>
      </c>
      <c r="J45" s="25">
        <v>823.61178</v>
      </c>
      <c r="K45" s="24">
        <v>0.843923162325448</v>
      </c>
      <c r="L45" s="16">
        <v>15.1657</v>
      </c>
      <c r="M45" s="24">
        <v>0.0155397067085163</v>
      </c>
      <c r="N45" s="26">
        <v>6000</v>
      </c>
      <c r="O45" s="27" t="s">
        <v>58</v>
      </c>
      <c r="AH45" s="1">
        <v>3</v>
      </c>
      <c r="AI45" s="1">
        <v>15</v>
      </c>
      <c r="AJ45" s="1">
        <v>2</v>
      </c>
    </row>
    <row r="46" s="2" customFormat="1" spans="1:36">
      <c r="A46" s="2" t="str">
        <f>VLOOKUP(B46,'[1]2. ISIC行业分类'!$A$2:$B$102,2,FALSE)</f>
        <v>C2511</v>
      </c>
      <c r="B46" s="14" t="s">
        <v>57</v>
      </c>
      <c r="C46" s="15" t="s">
        <v>39</v>
      </c>
      <c r="D46" s="16">
        <v>16.64</v>
      </c>
      <c r="E46" s="16">
        <v>942.08508</v>
      </c>
      <c r="F46" s="17">
        <f t="shared" si="0"/>
        <v>0.0176629482339323</v>
      </c>
      <c r="G46" s="16">
        <v>548.04487</v>
      </c>
      <c r="H46" s="16">
        <v>899.43668</v>
      </c>
      <c r="I46" s="24">
        <v>0.609320124680706</v>
      </c>
      <c r="J46" s="25">
        <v>787.29737</v>
      </c>
      <c r="K46" s="24">
        <v>0.875322729777932</v>
      </c>
      <c r="L46" s="16">
        <v>-176.89196</v>
      </c>
      <c r="M46" s="24">
        <v>-0.19666971998518</v>
      </c>
      <c r="N46" s="26">
        <v>6200</v>
      </c>
      <c r="O46" s="27" t="s">
        <v>58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38554</v>
      </c>
      <c r="AG46" s="33">
        <f t="shared" ref="AG46:AG101" si="2">AE46/AF46</f>
        <v>0</v>
      </c>
      <c r="AH46" s="1">
        <v>3</v>
      </c>
      <c r="AI46" s="1">
        <v>25</v>
      </c>
      <c r="AJ46" s="1">
        <v>5</v>
      </c>
    </row>
    <row r="47" s="2" customFormat="1" spans="1:36">
      <c r="A47" s="2" t="str">
        <f>VLOOKUP(B47,'[1]2. ISIC行业分类'!$A$2:$B$102,2,FALSE)</f>
        <v>C2511</v>
      </c>
      <c r="B47" s="14" t="s">
        <v>57</v>
      </c>
      <c r="C47" s="15" t="s">
        <v>40</v>
      </c>
      <c r="D47" s="16">
        <v>17.3565</v>
      </c>
      <c r="E47" s="16">
        <v>904.48522</v>
      </c>
      <c r="F47" s="17">
        <f t="shared" si="0"/>
        <v>0.0191893682906173</v>
      </c>
      <c r="G47" s="16">
        <v>785.70064</v>
      </c>
      <c r="H47" s="16">
        <v>1503.1306</v>
      </c>
      <c r="I47" s="24">
        <v>0.522709497098921</v>
      </c>
      <c r="J47" s="25">
        <v>825.45728</v>
      </c>
      <c r="K47" s="24">
        <v>0.549158722468959</v>
      </c>
      <c r="L47" s="16">
        <v>7.48489</v>
      </c>
      <c r="M47" s="24">
        <v>0.00497953404714135</v>
      </c>
      <c r="N47" s="26">
        <v>8057</v>
      </c>
      <c r="O47" s="27" t="s">
        <v>58</v>
      </c>
      <c r="P47" s="1">
        <v>0</v>
      </c>
      <c r="Q47" s="1">
        <v>0</v>
      </c>
      <c r="R47" s="1">
        <v>0</v>
      </c>
      <c r="S47" s="1">
        <v>1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1</v>
      </c>
      <c r="AF47" s="1">
        <v>45263</v>
      </c>
      <c r="AG47" s="33">
        <f t="shared" si="2"/>
        <v>2.20931003247686e-5</v>
      </c>
      <c r="AH47" s="1">
        <v>1</v>
      </c>
      <c r="AI47" s="1">
        <v>10</v>
      </c>
      <c r="AJ47" s="1">
        <v>0</v>
      </c>
    </row>
    <row r="48" s="2" customFormat="1" spans="1:36">
      <c r="A48" s="2" t="str">
        <f>VLOOKUP(B48,'[1]2. ISIC行业分类'!$A$2:$B$102,2,FALSE)</f>
        <v>C2511</v>
      </c>
      <c r="B48" s="14" t="s">
        <v>57</v>
      </c>
      <c r="C48" s="15" t="s">
        <v>41</v>
      </c>
      <c r="D48" s="16">
        <v>17.748</v>
      </c>
      <c r="E48" s="16">
        <v>1282.37153</v>
      </c>
      <c r="F48" s="17">
        <f t="shared" si="0"/>
        <v>0.0138399828636246</v>
      </c>
      <c r="G48" s="16">
        <v>567.94861</v>
      </c>
      <c r="H48" s="16">
        <v>1453.59855</v>
      </c>
      <c r="I48" s="24">
        <v>0.390719026240085</v>
      </c>
      <c r="J48" s="25">
        <v>835.27335</v>
      </c>
      <c r="K48" s="24">
        <v>0.574624506883279</v>
      </c>
      <c r="L48" s="16">
        <v>47.58866</v>
      </c>
      <c r="M48" s="24">
        <v>0.0327385164218828</v>
      </c>
      <c r="N48" s="26">
        <v>8139</v>
      </c>
      <c r="O48" s="27" t="s">
        <v>58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45685</v>
      </c>
      <c r="AG48" s="33">
        <f t="shared" si="2"/>
        <v>0</v>
      </c>
      <c r="AH48" s="1">
        <v>1</v>
      </c>
      <c r="AI48" s="1">
        <v>12</v>
      </c>
      <c r="AJ48" s="1">
        <v>1</v>
      </c>
    </row>
    <row r="49" s="2" customFormat="1" spans="1:33">
      <c r="A49" s="2" t="str">
        <f>VLOOKUP(B49,'[1]2. ISIC行业分类'!$A$2:$B$102,2,FALSE)</f>
        <v>C2511</v>
      </c>
      <c r="B49" s="18" t="s">
        <v>57</v>
      </c>
      <c r="C49" s="19">
        <v>2018</v>
      </c>
      <c r="D49" s="20">
        <v>0</v>
      </c>
      <c r="E49" s="20">
        <v>1402.35782</v>
      </c>
      <c r="F49" s="17">
        <f t="shared" si="0"/>
        <v>0</v>
      </c>
      <c r="G49" s="20">
        <v>634.29509</v>
      </c>
      <c r="H49" s="20">
        <v>1536.49335</v>
      </c>
      <c r="I49" s="28">
        <v>0.412819938335561</v>
      </c>
      <c r="J49" s="29">
        <v>907.08769</v>
      </c>
      <c r="K49" s="28">
        <v>0.590362262225216</v>
      </c>
      <c r="L49" s="20">
        <v>46.77528</v>
      </c>
      <c r="M49" s="28">
        <v>0.0304428782591217</v>
      </c>
      <c r="N49" s="30">
        <v>7875</v>
      </c>
      <c r="O49" s="31" t="s">
        <v>58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46938</v>
      </c>
      <c r="AG49" s="33">
        <f t="shared" si="2"/>
        <v>0</v>
      </c>
    </row>
    <row r="50" s="2" customFormat="1" spans="1:36">
      <c r="A50" s="2" t="str">
        <f>VLOOKUP(B50,'[1]2. ISIC行业分类'!$A$2:$B$102,2,FALSE)</f>
        <v>C2511</v>
      </c>
      <c r="B50" s="14" t="s">
        <v>57</v>
      </c>
      <c r="C50" s="15" t="s">
        <v>43</v>
      </c>
      <c r="D50" s="16">
        <v>15.453</v>
      </c>
      <c r="E50" s="16">
        <v>1099.91224</v>
      </c>
      <c r="F50" s="17">
        <f t="shared" si="0"/>
        <v>0.0140493026970952</v>
      </c>
      <c r="G50" s="16">
        <v>682.67613</v>
      </c>
      <c r="H50" s="16">
        <v>1584.33747</v>
      </c>
      <c r="I50" s="24">
        <v>0.430890604386198</v>
      </c>
      <c r="J50" s="25">
        <v>1056.93193</v>
      </c>
      <c r="K50" s="24">
        <v>0.667112878419773</v>
      </c>
      <c r="L50" s="16">
        <v>27.05965</v>
      </c>
      <c r="M50" s="24">
        <v>0.0170794736048249</v>
      </c>
      <c r="N50" s="26">
        <v>7956</v>
      </c>
      <c r="O50" s="27" t="s">
        <v>58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45553</v>
      </c>
      <c r="AG50" s="33">
        <f t="shared" si="2"/>
        <v>0</v>
      </c>
      <c r="AH50" s="1">
        <v>1</v>
      </c>
      <c r="AI50" s="1">
        <v>12</v>
      </c>
      <c r="AJ50" s="1">
        <v>0</v>
      </c>
    </row>
    <row r="51" s="2" customFormat="1" spans="1:33">
      <c r="A51" s="2" t="str">
        <f>VLOOKUP(B51,'[1]2. ISIC行业分类'!$A$2:$B$102,2,FALSE)</f>
        <v>C2511</v>
      </c>
      <c r="B51" s="18" t="s">
        <v>57</v>
      </c>
      <c r="C51" s="19">
        <v>2020</v>
      </c>
      <c r="D51" s="20">
        <v>0</v>
      </c>
      <c r="E51" s="20">
        <v>1180.88726</v>
      </c>
      <c r="F51" s="17">
        <f t="shared" si="0"/>
        <v>0</v>
      </c>
      <c r="G51" s="20">
        <v>702.97259</v>
      </c>
      <c r="H51" s="20">
        <v>1712.54027</v>
      </c>
      <c r="I51" s="28">
        <v>0.410485290369259</v>
      </c>
      <c r="J51" s="29">
        <v>926.56005</v>
      </c>
      <c r="K51" s="28">
        <v>0.541044240670615</v>
      </c>
      <c r="L51" s="20">
        <v>50.76462</v>
      </c>
      <c r="M51" s="28">
        <v>0.0296428766606464</v>
      </c>
      <c r="N51" s="30">
        <v>7911</v>
      </c>
      <c r="O51" s="31" t="s">
        <v>58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54395</v>
      </c>
      <c r="AG51" s="33">
        <f t="shared" si="2"/>
        <v>0</v>
      </c>
    </row>
    <row r="52" s="2" customFormat="1" spans="1:36">
      <c r="A52" s="2" t="str">
        <f>VLOOKUP(B52,'[1]2. ISIC行业分类'!$A$2:$B$102,2,FALSE)</f>
        <v>C2511</v>
      </c>
      <c r="B52" s="14" t="s">
        <v>57</v>
      </c>
      <c r="C52" s="15" t="s">
        <v>45</v>
      </c>
      <c r="D52" s="16">
        <v>17.004</v>
      </c>
      <c r="E52" s="16">
        <v>1307.92444</v>
      </c>
      <c r="F52" s="17">
        <f t="shared" si="0"/>
        <v>0.013000751021978</v>
      </c>
      <c r="G52" s="16">
        <v>635.08957</v>
      </c>
      <c r="H52" s="16">
        <v>1780.6913</v>
      </c>
      <c r="I52" s="24">
        <v>0.356653379504915</v>
      </c>
      <c r="J52" s="25">
        <v>969.49024</v>
      </c>
      <c r="K52" s="24">
        <v>0.544445991284396</v>
      </c>
      <c r="L52" s="16">
        <v>152.18131</v>
      </c>
      <c r="M52" s="24">
        <v>0.0854619270616979</v>
      </c>
      <c r="N52" s="26">
        <v>6177</v>
      </c>
      <c r="O52" s="27" t="s">
        <v>58</v>
      </c>
      <c r="P52" s="1">
        <v>1</v>
      </c>
      <c r="Q52" s="1">
        <v>0</v>
      </c>
      <c r="R52" s="1">
        <v>0</v>
      </c>
      <c r="S52" s="1">
        <v>1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3</v>
      </c>
      <c r="AF52" s="1">
        <v>61828</v>
      </c>
      <c r="AG52" s="33">
        <f t="shared" si="2"/>
        <v>4.8521705376205e-5</v>
      </c>
      <c r="AH52" s="1">
        <v>1</v>
      </c>
      <c r="AI52" s="1">
        <v>9</v>
      </c>
      <c r="AJ52" s="1">
        <v>0</v>
      </c>
    </row>
    <row r="53" s="2" customFormat="1" spans="1:36">
      <c r="A53" s="2" t="str">
        <f>VLOOKUP(B53,'[1]2. ISIC行业分类'!$A$2:$B$102,2,FALSE)</f>
        <v>C2511</v>
      </c>
      <c r="B53" s="14" t="s">
        <v>57</v>
      </c>
      <c r="C53" s="15" t="s">
        <v>48</v>
      </c>
      <c r="D53" s="16">
        <v>13.335</v>
      </c>
      <c r="E53" s="16">
        <v>606.86083</v>
      </c>
      <c r="F53" s="17">
        <f t="shared" si="0"/>
        <v>0.0219737365484604</v>
      </c>
      <c r="G53" s="16">
        <v>575.30795</v>
      </c>
      <c r="H53" s="16">
        <v>1643.30194</v>
      </c>
      <c r="I53" s="24">
        <v>0.350092661607884</v>
      </c>
      <c r="J53" s="25">
        <v>1002.947</v>
      </c>
      <c r="K53" s="24">
        <v>0.61032423536237</v>
      </c>
      <c r="L53" s="16">
        <v>20.68522</v>
      </c>
      <c r="M53" s="24">
        <v>0.0125875954360524</v>
      </c>
      <c r="N53" s="26">
        <v>6532</v>
      </c>
      <c r="O53" s="27" t="s">
        <v>58</v>
      </c>
      <c r="P53" s="1">
        <v>2</v>
      </c>
      <c r="Q53" s="1">
        <v>1</v>
      </c>
      <c r="R53" s="1">
        <v>0</v>
      </c>
      <c r="S53" s="1">
        <v>2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8</v>
      </c>
      <c r="AF53" s="1">
        <v>59405</v>
      </c>
      <c r="AG53" s="33">
        <f t="shared" si="2"/>
        <v>0.00013466879892265</v>
      </c>
      <c r="AH53" s="1">
        <v>1</v>
      </c>
      <c r="AI53" s="1">
        <v>18</v>
      </c>
      <c r="AJ53" s="1">
        <v>1</v>
      </c>
    </row>
    <row r="54" s="2" customFormat="1" spans="1:36">
      <c r="A54" s="2" t="str">
        <f>VLOOKUP(B54,'[1]2. ISIC行业分类'!$A$2:$B$102,2,FALSE)</f>
        <v>C2932</v>
      </c>
      <c r="B54" s="14" t="s">
        <v>59</v>
      </c>
      <c r="C54" s="15" t="s">
        <v>37</v>
      </c>
      <c r="D54" s="16">
        <v>62.4103</v>
      </c>
      <c r="E54" s="16">
        <v>1967.76597</v>
      </c>
      <c r="F54" s="17">
        <f t="shared" si="0"/>
        <v>0.0317163224445842</v>
      </c>
      <c r="G54" s="16">
        <v>711.52452</v>
      </c>
      <c r="H54" s="16">
        <v>1106.64814</v>
      </c>
      <c r="I54" s="24">
        <v>0.642954607053331</v>
      </c>
      <c r="J54" s="25">
        <v>1295.70347</v>
      </c>
      <c r="K54" s="24">
        <v>1.1708359894772</v>
      </c>
      <c r="L54" s="16">
        <v>79.4274</v>
      </c>
      <c r="M54" s="24">
        <v>0.0717729485362891</v>
      </c>
      <c r="N54" s="26">
        <v>10681</v>
      </c>
      <c r="O54" s="27" t="s">
        <v>60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24512</v>
      </c>
      <c r="AG54" s="33">
        <f t="shared" si="2"/>
        <v>0</v>
      </c>
      <c r="AH54" s="1">
        <v>1</v>
      </c>
      <c r="AI54" s="1">
        <v>39</v>
      </c>
      <c r="AJ54" s="1">
        <v>16</v>
      </c>
    </row>
    <row r="55" s="2" customFormat="1" spans="1:36">
      <c r="A55" s="2" t="str">
        <f>VLOOKUP(B55,'[1]2. ISIC行业分类'!$A$2:$B$102,2,FALSE)</f>
        <v>C2932</v>
      </c>
      <c r="B55" s="14" t="s">
        <v>59</v>
      </c>
      <c r="C55" s="15" t="s">
        <v>39</v>
      </c>
      <c r="D55" s="16">
        <v>63.128</v>
      </c>
      <c r="E55" s="16">
        <v>2083.37911</v>
      </c>
      <c r="F55" s="17">
        <f t="shared" si="0"/>
        <v>0.0303007742071485</v>
      </c>
      <c r="G55" s="16">
        <v>716.33324</v>
      </c>
      <c r="H55" s="16">
        <v>1113.35284</v>
      </c>
      <c r="I55" s="24">
        <v>0.643401816804096</v>
      </c>
      <c r="J55" s="25">
        <v>1267.766</v>
      </c>
      <c r="K55" s="24">
        <v>1.13869202507266</v>
      </c>
      <c r="L55" s="16">
        <v>42.149</v>
      </c>
      <c r="M55" s="24">
        <v>0.0378577199300089</v>
      </c>
      <c r="N55" s="26">
        <v>11423</v>
      </c>
      <c r="O55" s="27" t="s">
        <v>60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26264</v>
      </c>
      <c r="AG55" s="33">
        <f t="shared" si="2"/>
        <v>0</v>
      </c>
      <c r="AH55" s="1">
        <v>5</v>
      </c>
      <c r="AI55" s="1">
        <v>195</v>
      </c>
      <c r="AJ55" s="1">
        <v>56</v>
      </c>
    </row>
    <row r="56" s="2" customFormat="1" spans="1:36">
      <c r="A56" s="2" t="str">
        <f>VLOOKUP(B56,'[1]2. ISIC行业分类'!$A$2:$B$102,2,FALSE)</f>
        <v>C2932</v>
      </c>
      <c r="B56" s="14" t="s">
        <v>59</v>
      </c>
      <c r="C56" s="15" t="s">
        <v>40</v>
      </c>
      <c r="D56" s="16">
        <v>65.4675</v>
      </c>
      <c r="E56" s="16">
        <v>2119.15966</v>
      </c>
      <c r="F56" s="17">
        <f t="shared" si="0"/>
        <v>0.0308931418598257</v>
      </c>
      <c r="G56" s="16">
        <v>786.39075</v>
      </c>
      <c r="H56" s="16">
        <v>1277.63886</v>
      </c>
      <c r="I56" s="24">
        <v>0.615503155563067</v>
      </c>
      <c r="J56" s="25">
        <v>1352.75355</v>
      </c>
      <c r="K56" s="24">
        <v>1.05879180130761</v>
      </c>
      <c r="L56" s="16">
        <v>94.31176</v>
      </c>
      <c r="M56" s="24">
        <v>0.0738172287589938</v>
      </c>
      <c r="N56" s="26">
        <v>11725</v>
      </c>
      <c r="O56" s="27" t="s">
        <v>60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30549</v>
      </c>
      <c r="AG56" s="33">
        <f t="shared" si="2"/>
        <v>0</v>
      </c>
      <c r="AH56" s="1">
        <v>5</v>
      </c>
      <c r="AI56" s="1">
        <v>117</v>
      </c>
      <c r="AJ56" s="1">
        <v>41</v>
      </c>
    </row>
    <row r="57" s="2" customFormat="1" spans="1:36">
      <c r="A57" s="2" t="str">
        <f>VLOOKUP(B57,'[1]2. ISIC行业分类'!$A$2:$B$102,2,FALSE)</f>
        <v>C2932</v>
      </c>
      <c r="B57" s="14" t="s">
        <v>59</v>
      </c>
      <c r="C57" s="15" t="s">
        <v>41</v>
      </c>
      <c r="D57" s="16">
        <v>64.056</v>
      </c>
      <c r="E57" s="16">
        <v>2262.96996</v>
      </c>
      <c r="F57" s="17">
        <f t="shared" si="0"/>
        <v>0.0283061645237217</v>
      </c>
      <c r="G57" s="16">
        <v>907.69168</v>
      </c>
      <c r="H57" s="16">
        <v>1583.176</v>
      </c>
      <c r="I57" s="24">
        <v>0.5733359272753</v>
      </c>
      <c r="J57" s="25">
        <v>1634.07076</v>
      </c>
      <c r="K57" s="24">
        <v>1.03214725336918</v>
      </c>
      <c r="L57" s="16">
        <v>93.37547</v>
      </c>
      <c r="M57" s="24">
        <v>0.0589798417863838</v>
      </c>
      <c r="N57" s="26">
        <v>12133</v>
      </c>
      <c r="O57" s="27" t="s">
        <v>60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30336</v>
      </c>
      <c r="AG57" s="33">
        <f t="shared" si="2"/>
        <v>0</v>
      </c>
      <c r="AH57" s="1">
        <v>10</v>
      </c>
      <c r="AI57" s="1">
        <v>144</v>
      </c>
      <c r="AJ57" s="1">
        <v>48</v>
      </c>
    </row>
    <row r="58" s="2" customFormat="1" spans="1:36">
      <c r="A58" s="2" t="str">
        <f>VLOOKUP(B58,'[1]2. ISIC行业分类'!$A$2:$B$102,2,FALSE)</f>
        <v>C2932</v>
      </c>
      <c r="B58" s="14" t="s">
        <v>59</v>
      </c>
      <c r="C58" s="15" t="s">
        <v>42</v>
      </c>
      <c r="D58" s="16">
        <v>67.932</v>
      </c>
      <c r="E58" s="16">
        <v>2318.69182</v>
      </c>
      <c r="F58" s="17">
        <f t="shared" si="0"/>
        <v>0.0292975545150282</v>
      </c>
      <c r="G58" s="16">
        <v>989.47112</v>
      </c>
      <c r="H58" s="16">
        <v>1627.40355</v>
      </c>
      <c r="I58" s="24">
        <v>0.60800599826638</v>
      </c>
      <c r="J58" s="25">
        <v>1721.30981</v>
      </c>
      <c r="K58" s="24">
        <v>1.05770311856577</v>
      </c>
      <c r="L58" s="16">
        <v>55.99821</v>
      </c>
      <c r="M58" s="24">
        <v>0.0344095415055473</v>
      </c>
      <c r="N58" s="26">
        <v>12946</v>
      </c>
      <c r="O58" s="27" t="s">
        <v>60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31055</v>
      </c>
      <c r="AG58" s="33">
        <f t="shared" si="2"/>
        <v>0</v>
      </c>
      <c r="AH58" s="1">
        <v>2</v>
      </c>
      <c r="AI58" s="1">
        <v>16</v>
      </c>
      <c r="AJ58" s="1">
        <v>8</v>
      </c>
    </row>
    <row r="59" s="2" customFormat="1" spans="1:36">
      <c r="A59" s="2" t="str">
        <f>VLOOKUP(B59,'[1]2. ISIC行业分类'!$A$2:$B$102,2,FALSE)</f>
        <v>C2932</v>
      </c>
      <c r="B59" s="14" t="s">
        <v>59</v>
      </c>
      <c r="C59" s="15" t="s">
        <v>43</v>
      </c>
      <c r="D59" s="16">
        <v>61.913</v>
      </c>
      <c r="E59" s="16">
        <v>2372.14633</v>
      </c>
      <c r="F59" s="17">
        <f t="shared" si="0"/>
        <v>0.026099991900584</v>
      </c>
      <c r="G59" s="16">
        <v>1383.80365</v>
      </c>
      <c r="H59" s="16">
        <v>1898.93546</v>
      </c>
      <c r="I59" s="24">
        <v>0.728726004200269</v>
      </c>
      <c r="J59" s="25">
        <v>2148.70572</v>
      </c>
      <c r="K59" s="24">
        <v>1.13153172672862</v>
      </c>
      <c r="L59" s="16">
        <v>-99.94941</v>
      </c>
      <c r="M59" s="24">
        <v>-0.0526344428788538</v>
      </c>
      <c r="N59" s="26">
        <v>13128</v>
      </c>
      <c r="O59" s="27" t="s">
        <v>60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32970</v>
      </c>
      <c r="AG59" s="33">
        <f t="shared" si="2"/>
        <v>0</v>
      </c>
      <c r="AH59" s="1">
        <v>1</v>
      </c>
      <c r="AI59" s="1">
        <v>4</v>
      </c>
      <c r="AJ59" s="1">
        <v>3</v>
      </c>
    </row>
    <row r="60" s="2" customFormat="1" spans="1:36">
      <c r="A60" s="2" t="str">
        <f>VLOOKUP(B60,'[1]2. ISIC行业分类'!$A$2:$B$102,2,FALSE)</f>
        <v>C2100</v>
      </c>
      <c r="B60" s="14" t="s">
        <v>61</v>
      </c>
      <c r="C60" s="15" t="s">
        <v>41</v>
      </c>
      <c r="D60" s="16">
        <v>1.91163</v>
      </c>
      <c r="E60" s="16">
        <v>268.44114</v>
      </c>
      <c r="F60" s="17">
        <f t="shared" si="0"/>
        <v>0.00712122590449437</v>
      </c>
      <c r="G60" s="16">
        <v>174.9333</v>
      </c>
      <c r="H60" s="16">
        <v>558.87272</v>
      </c>
      <c r="I60" s="24">
        <v>0.31301098396787</v>
      </c>
      <c r="J60" s="25">
        <v>534.09128</v>
      </c>
      <c r="K60" s="24">
        <v>0.955658168464548</v>
      </c>
      <c r="L60" s="16">
        <v>42.86037</v>
      </c>
      <c r="M60" s="24">
        <v>0.0766907534867689</v>
      </c>
      <c r="N60" s="26">
        <v>1057</v>
      </c>
      <c r="O60" s="27" t="s">
        <v>62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25100</v>
      </c>
      <c r="AG60" s="33">
        <f t="shared" si="2"/>
        <v>0</v>
      </c>
      <c r="AH60" s="1">
        <v>3</v>
      </c>
      <c r="AI60" s="1">
        <v>91</v>
      </c>
      <c r="AJ60" s="1">
        <v>58</v>
      </c>
    </row>
    <row r="61" s="1" customFormat="1" spans="1:36">
      <c r="A61" s="2" t="str">
        <f>VLOOKUP(B61,'[1]2. ISIC行业分类'!$A$2:$B$102,2,FALSE)</f>
        <v>C2100</v>
      </c>
      <c r="B61" s="14" t="s">
        <v>61</v>
      </c>
      <c r="C61" s="15" t="s">
        <v>42</v>
      </c>
      <c r="D61" s="16">
        <v>1.71857</v>
      </c>
      <c r="E61" s="16">
        <v>287.10517</v>
      </c>
      <c r="F61" s="17">
        <f t="shared" si="0"/>
        <v>0.00598585528780272</v>
      </c>
      <c r="G61" s="16">
        <v>234.2453</v>
      </c>
      <c r="H61" s="16">
        <v>624.72052</v>
      </c>
      <c r="I61" s="24">
        <v>0.374960150180436</v>
      </c>
      <c r="J61" s="25">
        <v>565.15509</v>
      </c>
      <c r="K61" s="24">
        <v>0.9046526757277</v>
      </c>
      <c r="L61" s="16">
        <v>47.40437</v>
      </c>
      <c r="M61" s="24">
        <v>0.075880923520809</v>
      </c>
      <c r="N61" s="26">
        <v>1097</v>
      </c>
      <c r="O61" s="27" t="s">
        <v>62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25146</v>
      </c>
      <c r="AG61" s="33">
        <f t="shared" si="2"/>
        <v>0</v>
      </c>
      <c r="AH61" s="1">
        <v>1</v>
      </c>
      <c r="AI61" s="1">
        <v>18</v>
      </c>
      <c r="AJ61" s="1">
        <v>8</v>
      </c>
    </row>
    <row r="62" s="1" customFormat="1" spans="1:36">
      <c r="A62" s="2" t="str">
        <f>VLOOKUP(B62,'[1]2. ISIC行业分类'!$A$2:$B$102,2,FALSE)</f>
        <v>C2100</v>
      </c>
      <c r="B62" s="14" t="s">
        <v>61</v>
      </c>
      <c r="C62" s="15" t="s">
        <v>43</v>
      </c>
      <c r="D62" s="16">
        <v>1.70885</v>
      </c>
      <c r="E62" s="16">
        <v>323.92178</v>
      </c>
      <c r="F62" s="17">
        <f t="shared" si="0"/>
        <v>0.00527550200545329</v>
      </c>
      <c r="G62" s="16">
        <v>205.81111</v>
      </c>
      <c r="H62" s="16">
        <v>668.19895</v>
      </c>
      <c r="I62" s="24">
        <v>0.30800873003467</v>
      </c>
      <c r="J62" s="25">
        <v>602.96544</v>
      </c>
      <c r="K62" s="24">
        <v>0.902374120761489</v>
      </c>
      <c r="L62" s="16">
        <v>55.92624</v>
      </c>
      <c r="M62" s="24">
        <v>0.0836969887486354</v>
      </c>
      <c r="N62" s="26">
        <v>1209</v>
      </c>
      <c r="O62" s="27" t="s">
        <v>62</v>
      </c>
      <c r="P62" s="1">
        <v>2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4</v>
      </c>
      <c r="AF62" s="1">
        <v>24006</v>
      </c>
      <c r="AG62" s="33">
        <f t="shared" si="2"/>
        <v>0.000166625010414063</v>
      </c>
      <c r="AH62" s="1">
        <v>1</v>
      </c>
      <c r="AI62" s="1">
        <v>18</v>
      </c>
      <c r="AJ62" s="1">
        <v>8</v>
      </c>
    </row>
    <row r="63" s="2" customFormat="1" spans="1:36">
      <c r="A63" s="2" t="str">
        <f>VLOOKUP(B63,'[1]2. ISIC行业分类'!$A$2:$B$102,2,FALSE)</f>
        <v>C2100</v>
      </c>
      <c r="B63" s="18" t="s">
        <v>61</v>
      </c>
      <c r="C63" s="19">
        <v>2020</v>
      </c>
      <c r="D63" s="20">
        <v>3.32297</v>
      </c>
      <c r="E63" s="20">
        <v>454.35999</v>
      </c>
      <c r="F63" s="17">
        <f t="shared" si="0"/>
        <v>0.00731351807627252</v>
      </c>
      <c r="G63" s="20">
        <v>265.8039</v>
      </c>
      <c r="H63" s="20">
        <v>803.48573</v>
      </c>
      <c r="I63" s="28">
        <v>0.330813466967235</v>
      </c>
      <c r="J63" s="29">
        <v>713.86606</v>
      </c>
      <c r="K63" s="28">
        <v>0.888461404286545</v>
      </c>
      <c r="L63" s="20">
        <v>88.23057</v>
      </c>
      <c r="M63" s="28">
        <v>0.109809753559656</v>
      </c>
      <c r="N63" s="30">
        <v>1475</v>
      </c>
      <c r="O63" s="31" t="s">
        <v>62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26800</v>
      </c>
      <c r="AG63" s="33">
        <f t="shared" si="2"/>
        <v>0</v>
      </c>
      <c r="AH63" s="2">
        <v>0</v>
      </c>
      <c r="AI63" s="2">
        <v>0</v>
      </c>
      <c r="AJ63" s="2">
        <v>0</v>
      </c>
    </row>
    <row r="64" s="2" customFormat="1" spans="1:36">
      <c r="A64" s="2" t="str">
        <f>VLOOKUP(B64,'[1]2. ISIC行业分类'!$A$2:$B$102,2,FALSE)</f>
        <v>C2100</v>
      </c>
      <c r="B64" s="14" t="s">
        <v>61</v>
      </c>
      <c r="C64" s="15" t="s">
        <v>45</v>
      </c>
      <c r="D64" s="16">
        <v>4.186</v>
      </c>
      <c r="E64" s="16">
        <v>552.02773</v>
      </c>
      <c r="F64" s="17">
        <f t="shared" si="0"/>
        <v>0.0075829523998731</v>
      </c>
      <c r="G64" s="16">
        <v>194.70826</v>
      </c>
      <c r="H64" s="16">
        <v>1424.39859</v>
      </c>
      <c r="I64" s="24">
        <v>0.136695066512246</v>
      </c>
      <c r="J64" s="25">
        <v>829.50275</v>
      </c>
      <c r="K64" s="24">
        <v>0.582352970456114</v>
      </c>
      <c r="L64" s="16">
        <v>125.8016</v>
      </c>
      <c r="M64" s="24">
        <v>0.088319098939855</v>
      </c>
      <c r="N64" s="26">
        <v>1639</v>
      </c>
      <c r="O64" s="27" t="s">
        <v>62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24105</v>
      </c>
      <c r="AG64" s="33">
        <f t="shared" si="2"/>
        <v>0</v>
      </c>
      <c r="AH64" s="1">
        <v>2</v>
      </c>
      <c r="AI64" s="1">
        <v>10</v>
      </c>
      <c r="AJ64" s="1">
        <v>0</v>
      </c>
    </row>
    <row r="65" s="1" customFormat="1" spans="1:36">
      <c r="A65" s="2" t="str">
        <f>VLOOKUP(B65,'[1]2. ISIC行业分类'!$A$2:$B$102,2,FALSE)</f>
        <v>C2100</v>
      </c>
      <c r="B65" s="14" t="s">
        <v>61</v>
      </c>
      <c r="C65" s="15" t="s">
        <v>48</v>
      </c>
      <c r="D65" s="16">
        <v>7.78981</v>
      </c>
      <c r="E65" s="16">
        <v>575.06029</v>
      </c>
      <c r="F65" s="17">
        <f t="shared" si="0"/>
        <v>0.013546075316729</v>
      </c>
      <c r="G65" s="16">
        <v>231.65886</v>
      </c>
      <c r="H65" s="16">
        <v>1496.60852</v>
      </c>
      <c r="I65" s="24">
        <v>0.154789216354321</v>
      </c>
      <c r="J65" s="25">
        <v>1007.54972</v>
      </c>
      <c r="K65" s="24">
        <v>0.673221959206807</v>
      </c>
      <c r="L65" s="16">
        <v>108.88641</v>
      </c>
      <c r="M65" s="24">
        <v>0.0727554390776821</v>
      </c>
      <c r="N65" s="26">
        <v>1776</v>
      </c>
      <c r="O65" s="27" t="s">
        <v>62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1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2</v>
      </c>
      <c r="AF65" s="1">
        <v>24729</v>
      </c>
      <c r="AG65" s="33">
        <f t="shared" si="2"/>
        <v>8.08767034655667e-5</v>
      </c>
      <c r="AH65" s="1">
        <v>1</v>
      </c>
      <c r="AI65" s="1">
        <v>8</v>
      </c>
      <c r="AJ65" s="1">
        <v>1</v>
      </c>
    </row>
    <row r="66" s="1" customFormat="1" spans="1:36">
      <c r="A66" s="2" t="str">
        <f>VLOOKUP(B66,'[1]2. ISIC行业分类'!$A$2:$B$102,2,FALSE)</f>
        <v>C2812</v>
      </c>
      <c r="B66" s="14" t="s">
        <v>63</v>
      </c>
      <c r="C66" s="15" t="s">
        <v>37</v>
      </c>
      <c r="D66" s="16">
        <v>35.4132</v>
      </c>
      <c r="E66" s="16">
        <v>497.62322</v>
      </c>
      <c r="F66" s="17">
        <f t="shared" ref="F66:F129" si="3">D66/E66</f>
        <v>0.0711646856028945</v>
      </c>
      <c r="G66" s="16">
        <v>108.31421</v>
      </c>
      <c r="H66" s="16">
        <v>427.35162</v>
      </c>
      <c r="I66" s="24">
        <v>0.253454544059058</v>
      </c>
      <c r="J66" s="25">
        <v>251.81103</v>
      </c>
      <c r="K66" s="24">
        <v>0.589236165759708</v>
      </c>
      <c r="L66" s="16">
        <v>67.64214</v>
      </c>
      <c r="M66" s="24">
        <v>0.158282165866131</v>
      </c>
      <c r="N66" s="26">
        <v>1388</v>
      </c>
      <c r="O66" s="27" t="s">
        <v>64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2</v>
      </c>
      <c r="AF66" s="1">
        <v>23753</v>
      </c>
      <c r="AG66" s="33">
        <f t="shared" si="2"/>
        <v>8.41998905401423e-5</v>
      </c>
      <c r="AH66" s="1">
        <v>8</v>
      </c>
      <c r="AI66" s="1">
        <v>180</v>
      </c>
      <c r="AJ66" s="1">
        <v>168</v>
      </c>
    </row>
    <row r="67" s="1" customFormat="1" spans="1:36">
      <c r="A67" s="2" t="str">
        <f>VLOOKUP(B67,'[1]2. ISIC行业分类'!$A$2:$B$102,2,FALSE)</f>
        <v>C2812</v>
      </c>
      <c r="B67" s="14" t="s">
        <v>63</v>
      </c>
      <c r="C67" s="15" t="s">
        <v>39</v>
      </c>
      <c r="D67" s="16">
        <v>36.088</v>
      </c>
      <c r="E67" s="16">
        <v>494.50065</v>
      </c>
      <c r="F67" s="17">
        <f t="shared" si="3"/>
        <v>0.0729786705032643</v>
      </c>
      <c r="G67" s="16">
        <v>75.99305</v>
      </c>
      <c r="H67" s="16">
        <v>412.54182</v>
      </c>
      <c r="I67" s="24">
        <v>0.184206900527079</v>
      </c>
      <c r="J67" s="25">
        <v>285.24785</v>
      </c>
      <c r="K67" s="24">
        <v>0.6914398399658</v>
      </c>
      <c r="L67" s="16">
        <v>56.16105</v>
      </c>
      <c r="M67" s="24">
        <v>0.136134198467443</v>
      </c>
      <c r="N67" s="26">
        <v>1409</v>
      </c>
      <c r="O67" s="27" t="s">
        <v>64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21460</v>
      </c>
      <c r="AG67" s="33">
        <f t="shared" si="2"/>
        <v>0</v>
      </c>
      <c r="AH67" s="1">
        <v>5</v>
      </c>
      <c r="AI67" s="1">
        <v>71</v>
      </c>
      <c r="AJ67" s="1">
        <v>72</v>
      </c>
    </row>
    <row r="68" s="1" customFormat="1" spans="1:36">
      <c r="A68" s="2" t="str">
        <f>VLOOKUP(B68,'[1]2. ISIC行业分类'!$A$2:$B$102,2,FALSE)</f>
        <v>C2812</v>
      </c>
      <c r="B68" s="14" t="s">
        <v>63</v>
      </c>
      <c r="C68" s="15" t="s">
        <v>40</v>
      </c>
      <c r="D68" s="16">
        <v>38.2655</v>
      </c>
      <c r="E68" s="16">
        <v>526.44273</v>
      </c>
      <c r="F68" s="17">
        <f t="shared" si="3"/>
        <v>0.0726869188601009</v>
      </c>
      <c r="G68" s="16">
        <v>81.6161</v>
      </c>
      <c r="H68" s="16">
        <v>444.84928</v>
      </c>
      <c r="I68" s="24">
        <v>0.183469106660125</v>
      </c>
      <c r="J68" s="25">
        <v>293.72896</v>
      </c>
      <c r="K68" s="24">
        <v>0.660288716214175</v>
      </c>
      <c r="L68" s="16">
        <v>68.6694</v>
      </c>
      <c r="M68" s="24">
        <v>0.154365541515544</v>
      </c>
      <c r="N68" s="26">
        <v>1440</v>
      </c>
      <c r="O68" s="27" t="s">
        <v>64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22024</v>
      </c>
      <c r="AG68" s="33">
        <f t="shared" si="2"/>
        <v>0</v>
      </c>
      <c r="AH68" s="1">
        <v>4</v>
      </c>
      <c r="AI68" s="1">
        <v>73</v>
      </c>
      <c r="AJ68" s="1">
        <v>39</v>
      </c>
    </row>
    <row r="69" s="1" customFormat="1" spans="1:36">
      <c r="A69" s="2" t="str">
        <f>VLOOKUP(B69,'[1]2. ISIC行业分类'!$A$2:$B$102,2,FALSE)</f>
        <v>C2812</v>
      </c>
      <c r="B69" s="14" t="s">
        <v>63</v>
      </c>
      <c r="C69" s="15" t="s">
        <v>41</v>
      </c>
      <c r="D69" s="16">
        <v>45.288</v>
      </c>
      <c r="E69" s="16">
        <v>595.81042</v>
      </c>
      <c r="F69" s="17">
        <f t="shared" si="3"/>
        <v>0.0760107552331831</v>
      </c>
      <c r="G69" s="16">
        <v>80.27828</v>
      </c>
      <c r="H69" s="16">
        <v>504.72624</v>
      </c>
      <c r="I69" s="24">
        <v>0.159053113624526</v>
      </c>
      <c r="J69" s="25">
        <v>317.95785</v>
      </c>
      <c r="K69" s="24">
        <v>0.629961006188226</v>
      </c>
      <c r="L69" s="16">
        <v>79.51281</v>
      </c>
      <c r="M69" s="24">
        <v>0.157536509296604</v>
      </c>
      <c r="N69" s="26">
        <v>1532</v>
      </c>
      <c r="O69" s="27" t="s">
        <v>64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23285</v>
      </c>
      <c r="AG69" s="33">
        <f t="shared" si="2"/>
        <v>0</v>
      </c>
      <c r="AH69" s="1">
        <v>5</v>
      </c>
      <c r="AI69" s="1">
        <v>124</v>
      </c>
      <c r="AJ69" s="1">
        <v>28</v>
      </c>
    </row>
    <row r="70" s="1" customFormat="1" spans="1:36">
      <c r="A70" s="2" t="str">
        <f>VLOOKUP(B70,'[1]2. ISIC行业分类'!$A$2:$B$102,2,FALSE)</f>
        <v>C2812</v>
      </c>
      <c r="B70" s="14" t="s">
        <v>63</v>
      </c>
      <c r="C70" s="15" t="s">
        <v>42</v>
      </c>
      <c r="D70" s="16">
        <v>48.144</v>
      </c>
      <c r="E70" s="16">
        <v>653.52962</v>
      </c>
      <c r="F70" s="17">
        <f t="shared" si="3"/>
        <v>0.0736676632958121</v>
      </c>
      <c r="G70" s="16">
        <v>95.76507</v>
      </c>
      <c r="H70" s="16">
        <v>540.13578</v>
      </c>
      <c r="I70" s="24">
        <v>0.177298141589509</v>
      </c>
      <c r="J70" s="25">
        <v>327.25212</v>
      </c>
      <c r="K70" s="24">
        <v>0.605870101773299</v>
      </c>
      <c r="L70" s="16">
        <v>87.61433</v>
      </c>
      <c r="M70" s="24">
        <v>0.162207972965612</v>
      </c>
      <c r="N70" s="26">
        <v>1640</v>
      </c>
      <c r="O70" s="27" t="s">
        <v>64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25535</v>
      </c>
      <c r="AG70" s="33">
        <f t="shared" si="2"/>
        <v>0</v>
      </c>
      <c r="AH70" s="1">
        <v>4</v>
      </c>
      <c r="AI70" s="1">
        <v>42</v>
      </c>
      <c r="AJ70" s="1">
        <v>5</v>
      </c>
    </row>
    <row r="71" s="1" customFormat="1" spans="1:36">
      <c r="A71" s="2" t="str">
        <f>VLOOKUP(B71,'[1]2. ISIC行业分类'!$A$2:$B$102,2,FALSE)</f>
        <v>C2812</v>
      </c>
      <c r="B71" s="14" t="s">
        <v>63</v>
      </c>
      <c r="C71" s="15" t="s">
        <v>43</v>
      </c>
      <c r="D71" s="16">
        <v>51.207</v>
      </c>
      <c r="E71" s="16">
        <v>715.21647</v>
      </c>
      <c r="F71" s="17">
        <f t="shared" si="3"/>
        <v>0.0715965056006051</v>
      </c>
      <c r="G71" s="16">
        <v>97.73772</v>
      </c>
      <c r="H71" s="16">
        <v>621.58825</v>
      </c>
      <c r="I71" s="24">
        <v>0.157238686542096</v>
      </c>
      <c r="J71" s="25">
        <v>377.59399</v>
      </c>
      <c r="K71" s="24">
        <v>0.607466421702791</v>
      </c>
      <c r="L71" s="16">
        <v>125.08544</v>
      </c>
      <c r="M71" s="24">
        <v>0.201235206746588</v>
      </c>
      <c r="N71" s="26">
        <v>1789</v>
      </c>
      <c r="O71" s="27" t="s">
        <v>64</v>
      </c>
      <c r="P71" s="1">
        <v>0</v>
      </c>
      <c r="Q71" s="1">
        <v>0</v>
      </c>
      <c r="R71" s="1">
        <v>0</v>
      </c>
      <c r="S71" s="1">
        <v>0</v>
      </c>
      <c r="T71" s="1">
        <v>1</v>
      </c>
      <c r="U71" s="1">
        <v>0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4</v>
      </c>
      <c r="AF71" s="1">
        <v>37325</v>
      </c>
      <c r="AG71" s="33">
        <f t="shared" si="2"/>
        <v>0.000107166778298727</v>
      </c>
      <c r="AH71" s="1">
        <v>3</v>
      </c>
      <c r="AI71" s="1">
        <v>76</v>
      </c>
      <c r="AJ71" s="1">
        <v>6</v>
      </c>
    </row>
    <row r="72" s="2" customFormat="1" spans="1:36">
      <c r="A72" s="2" t="str">
        <f>VLOOKUP(B72,'[1]2. ISIC行业分类'!$A$2:$B$102,2,FALSE)</f>
        <v>C2812</v>
      </c>
      <c r="B72" s="14" t="s">
        <v>63</v>
      </c>
      <c r="C72" s="15" t="s">
        <v>44</v>
      </c>
      <c r="D72" s="16">
        <v>57.566</v>
      </c>
      <c r="E72" s="16">
        <v>747.35914</v>
      </c>
      <c r="F72" s="17">
        <f t="shared" si="3"/>
        <v>0.0770258861087857</v>
      </c>
      <c r="G72" s="16">
        <v>106.4651</v>
      </c>
      <c r="H72" s="16">
        <v>659.46087</v>
      </c>
      <c r="I72" s="24">
        <v>0.161442634192989</v>
      </c>
      <c r="J72" s="25">
        <v>424.59565</v>
      </c>
      <c r="K72" s="24">
        <v>0.643852682267562</v>
      </c>
      <c r="L72" s="16">
        <v>98.01074</v>
      </c>
      <c r="M72" s="24">
        <v>0.148622525548787</v>
      </c>
      <c r="N72" s="26">
        <v>1824</v>
      </c>
      <c r="O72" s="27" t="s">
        <v>64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1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2</v>
      </c>
      <c r="AF72" s="1">
        <v>42724</v>
      </c>
      <c r="AG72" s="33">
        <f t="shared" si="2"/>
        <v>4.68120962456699e-5</v>
      </c>
      <c r="AH72" s="1">
        <v>4</v>
      </c>
      <c r="AI72" s="1">
        <v>95</v>
      </c>
      <c r="AJ72" s="1">
        <v>3</v>
      </c>
    </row>
    <row r="73" s="1" customFormat="1" spans="1:36">
      <c r="A73" s="2" t="str">
        <f>VLOOKUP(B73,'[1]2. ISIC行业分类'!$A$2:$B$102,2,FALSE)</f>
        <v>C2812</v>
      </c>
      <c r="B73" s="14" t="s">
        <v>63</v>
      </c>
      <c r="C73" s="15" t="s">
        <v>45</v>
      </c>
      <c r="D73" s="16">
        <v>61.04</v>
      </c>
      <c r="E73" s="16">
        <v>839.5509</v>
      </c>
      <c r="F73" s="17">
        <f t="shared" si="3"/>
        <v>0.0727055381633204</v>
      </c>
      <c r="G73" s="16">
        <v>144.06928</v>
      </c>
      <c r="H73" s="16">
        <v>704.98459</v>
      </c>
      <c r="I73" s="24">
        <v>0.204358055542746</v>
      </c>
      <c r="J73" s="25">
        <v>429.72543</v>
      </c>
      <c r="K73" s="24">
        <v>0.609552940724562</v>
      </c>
      <c r="L73" s="16">
        <v>126.8865</v>
      </c>
      <c r="M73" s="24">
        <v>0.179984785199347</v>
      </c>
      <c r="N73" s="26">
        <v>1806</v>
      </c>
      <c r="O73" s="27" t="s">
        <v>64</v>
      </c>
      <c r="P73" s="1">
        <v>0</v>
      </c>
      <c r="Q73" s="1">
        <v>1</v>
      </c>
      <c r="R73" s="1">
        <v>0</v>
      </c>
      <c r="S73" s="1">
        <v>0</v>
      </c>
      <c r="T73" s="1">
        <v>0</v>
      </c>
      <c r="U73" s="1">
        <v>0</v>
      </c>
      <c r="V73" s="1">
        <v>2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6</v>
      </c>
      <c r="AF73" s="1">
        <v>39755</v>
      </c>
      <c r="AG73" s="33">
        <f t="shared" si="2"/>
        <v>0.000150924412023645</v>
      </c>
      <c r="AH73" s="1">
        <v>5</v>
      </c>
      <c r="AI73" s="1">
        <v>28</v>
      </c>
      <c r="AJ73" s="1">
        <v>0</v>
      </c>
    </row>
    <row r="74" s="1" customFormat="1" spans="1:36">
      <c r="A74" s="2" t="str">
        <f>VLOOKUP(B74,'[1]2. ISIC行业分类'!$A$2:$B$102,2,FALSE)</f>
        <v>C2812</v>
      </c>
      <c r="B74" s="14" t="s">
        <v>63</v>
      </c>
      <c r="C74" s="15" t="s">
        <v>48</v>
      </c>
      <c r="D74" s="16">
        <v>65.205</v>
      </c>
      <c r="E74" s="16">
        <v>915.89432</v>
      </c>
      <c r="F74" s="17">
        <f t="shared" si="3"/>
        <v>0.0711927114036475</v>
      </c>
      <c r="G74" s="16">
        <v>162.46445</v>
      </c>
      <c r="H74" s="16">
        <v>726.72737</v>
      </c>
      <c r="I74" s="24">
        <v>0.223556256041382</v>
      </c>
      <c r="J74" s="25">
        <v>474.45683</v>
      </c>
      <c r="K74" s="24">
        <v>0.652867704707475</v>
      </c>
      <c r="L74" s="16">
        <v>132.80089</v>
      </c>
      <c r="M74" s="24">
        <v>0.182738252998508</v>
      </c>
      <c r="N74" s="26">
        <v>2036</v>
      </c>
      <c r="O74" s="27" t="s">
        <v>64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1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2</v>
      </c>
      <c r="AF74" s="1">
        <v>42320</v>
      </c>
      <c r="AG74" s="33">
        <f t="shared" si="2"/>
        <v>4.72589792060492e-5</v>
      </c>
      <c r="AH74" s="1">
        <v>5</v>
      </c>
      <c r="AI74" s="1">
        <v>37</v>
      </c>
      <c r="AJ74" s="1">
        <v>1</v>
      </c>
    </row>
    <row r="75" s="2" customFormat="1" spans="1:36">
      <c r="A75" s="2" t="str">
        <f>VLOOKUP(B75,'[1]2. ISIC行业分类'!$A$2:$B$102,2,FALSE)</f>
        <v>D3510</v>
      </c>
      <c r="B75" s="14" t="s">
        <v>65</v>
      </c>
      <c r="C75" s="15" t="s">
        <v>37</v>
      </c>
      <c r="D75" s="16">
        <v>0</v>
      </c>
      <c r="E75" s="16">
        <v>2800.59596</v>
      </c>
      <c r="F75" s="17">
        <f t="shared" si="3"/>
        <v>0</v>
      </c>
      <c r="G75" s="16">
        <v>5451.09527</v>
      </c>
      <c r="H75" s="16">
        <v>7992.97334</v>
      </c>
      <c r="I75" s="24">
        <v>0.68198591914733</v>
      </c>
      <c r="J75" s="25">
        <v>6108.15817</v>
      </c>
      <c r="K75" s="24">
        <v>0.764190985028357</v>
      </c>
      <c r="L75" s="16">
        <v>290.12644</v>
      </c>
      <c r="M75" s="24">
        <v>0.036297686437673</v>
      </c>
      <c r="N75" s="26">
        <v>0</v>
      </c>
      <c r="O75" s="27" t="s">
        <v>66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12804</v>
      </c>
      <c r="AG75" s="33">
        <f t="shared" si="2"/>
        <v>0</v>
      </c>
      <c r="AH75" s="1">
        <v>1</v>
      </c>
      <c r="AI75" s="1">
        <v>5</v>
      </c>
      <c r="AJ75" s="1">
        <v>2</v>
      </c>
    </row>
    <row r="76" s="2" customFormat="1" spans="1:36">
      <c r="A76" s="2" t="str">
        <f>VLOOKUP(B76,'[1]2. ISIC行业分类'!$A$2:$B$102,2,FALSE)</f>
        <v>D3510</v>
      </c>
      <c r="B76" s="14" t="s">
        <v>65</v>
      </c>
      <c r="C76" s="15" t="s">
        <v>39</v>
      </c>
      <c r="D76" s="16">
        <v>0</v>
      </c>
      <c r="E76" s="16">
        <v>2588.66771</v>
      </c>
      <c r="F76" s="17">
        <f t="shared" si="3"/>
        <v>0</v>
      </c>
      <c r="G76" s="16">
        <v>5424.73607</v>
      </c>
      <c r="H76" s="16">
        <v>7997.62287</v>
      </c>
      <c r="I76" s="24">
        <v>0.678293557745616</v>
      </c>
      <c r="J76" s="25">
        <v>6890.36266</v>
      </c>
      <c r="K76" s="24">
        <v>0.861551334940603</v>
      </c>
      <c r="L76" s="16">
        <v>276.3656</v>
      </c>
      <c r="M76" s="24">
        <v>0.0345559680035275</v>
      </c>
      <c r="N76" s="26">
        <v>3993</v>
      </c>
      <c r="O76" s="27" t="s">
        <v>66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44472</v>
      </c>
      <c r="AG76" s="33">
        <f t="shared" si="2"/>
        <v>0</v>
      </c>
      <c r="AH76" s="1">
        <v>1</v>
      </c>
      <c r="AI76" s="1">
        <v>10</v>
      </c>
      <c r="AJ76" s="1">
        <v>2</v>
      </c>
    </row>
    <row r="77" s="2" customFormat="1" spans="1:36">
      <c r="A77" s="2" t="str">
        <f>VLOOKUP(B77,'[1]2. ISIC行业分类'!$A$2:$B$102,2,FALSE)</f>
        <v>D3510</v>
      </c>
      <c r="B77" s="14" t="s">
        <v>65</v>
      </c>
      <c r="C77" s="15" t="s">
        <v>40</v>
      </c>
      <c r="D77" s="16">
        <v>0</v>
      </c>
      <c r="E77" s="16">
        <v>2328.85074</v>
      </c>
      <c r="F77" s="17">
        <f t="shared" si="3"/>
        <v>0</v>
      </c>
      <c r="G77" s="16">
        <v>5552.97407</v>
      </c>
      <c r="H77" s="16">
        <v>8448.1876</v>
      </c>
      <c r="I77" s="24">
        <v>0.65729767530257</v>
      </c>
      <c r="J77" s="25">
        <v>7062.06068</v>
      </c>
      <c r="K77" s="24">
        <v>0.835926119822434</v>
      </c>
      <c r="L77" s="16">
        <v>306.75934</v>
      </c>
      <c r="M77" s="24">
        <v>0.036310668574642</v>
      </c>
      <c r="N77" s="26">
        <v>5007</v>
      </c>
      <c r="O77" s="27" t="s">
        <v>66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46286</v>
      </c>
      <c r="AG77" s="33">
        <f t="shared" si="2"/>
        <v>0</v>
      </c>
      <c r="AH77" s="1">
        <v>2</v>
      </c>
      <c r="AI77" s="1">
        <v>29</v>
      </c>
      <c r="AJ77" s="1">
        <v>10</v>
      </c>
    </row>
    <row r="78" s="2" customFormat="1" spans="1:36">
      <c r="A78" s="2" t="str">
        <f>VLOOKUP(B78,'[1]2. ISIC行业分类'!$A$2:$B$102,2,FALSE)</f>
        <v>D3510</v>
      </c>
      <c r="B78" s="18" t="s">
        <v>65</v>
      </c>
      <c r="C78" s="19">
        <v>2017</v>
      </c>
      <c r="D78" s="20">
        <v>0</v>
      </c>
      <c r="E78" s="20">
        <v>2475.68133</v>
      </c>
      <c r="F78" s="17">
        <f t="shared" si="3"/>
        <v>0</v>
      </c>
      <c r="G78" s="20">
        <v>5830.52865</v>
      </c>
      <c r="H78" s="20">
        <v>9325.747</v>
      </c>
      <c r="I78" s="28">
        <v>0.625207680414234</v>
      </c>
      <c r="J78" s="29">
        <v>7680.59432</v>
      </c>
      <c r="K78" s="28">
        <v>0.82359025180503</v>
      </c>
      <c r="L78" s="20">
        <v>257.85996</v>
      </c>
      <c r="M78" s="28">
        <v>0.0276503276359524</v>
      </c>
      <c r="N78" s="30">
        <v>5864</v>
      </c>
      <c r="O78" s="31" t="s">
        <v>66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48515</v>
      </c>
      <c r="AG78" s="33">
        <f t="shared" si="2"/>
        <v>0</v>
      </c>
      <c r="AH78" s="2">
        <v>0</v>
      </c>
      <c r="AI78" s="2">
        <v>0</v>
      </c>
      <c r="AJ78" s="2">
        <v>0</v>
      </c>
    </row>
    <row r="79" s="1" customFormat="1" spans="1:36">
      <c r="A79" s="2" t="str">
        <f>VLOOKUP(B79,'[1]2. ISIC行业分类'!$A$2:$B$102,2,FALSE)</f>
        <v>D3510</v>
      </c>
      <c r="B79" s="18" t="s">
        <v>65</v>
      </c>
      <c r="C79" s="19">
        <v>2018</v>
      </c>
      <c r="D79" s="20">
        <v>0</v>
      </c>
      <c r="E79" s="20">
        <v>2642.68873</v>
      </c>
      <c r="F79" s="17">
        <f t="shared" si="3"/>
        <v>0</v>
      </c>
      <c r="G79" s="20">
        <v>5671.97854</v>
      </c>
      <c r="H79" s="20">
        <v>9200.88215</v>
      </c>
      <c r="I79" s="28">
        <v>0.616460296690139</v>
      </c>
      <c r="J79" s="29">
        <v>7718.50482</v>
      </c>
      <c r="K79" s="28">
        <v>0.838887477762119</v>
      </c>
      <c r="L79" s="20">
        <v>189.4386</v>
      </c>
      <c r="M79" s="28">
        <v>0.0205891779626805</v>
      </c>
      <c r="N79" s="30">
        <v>7300</v>
      </c>
      <c r="O79" s="31" t="s">
        <v>66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1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2</v>
      </c>
      <c r="AF79" s="1">
        <v>41709</v>
      </c>
      <c r="AG79" s="33">
        <f t="shared" si="2"/>
        <v>4.7951281497998e-5</v>
      </c>
      <c r="AH79" s="2">
        <v>0</v>
      </c>
      <c r="AI79" s="2">
        <v>0</v>
      </c>
      <c r="AJ79" s="2">
        <v>0</v>
      </c>
    </row>
    <row r="80" s="2" customFormat="1" spans="1:36">
      <c r="A80" s="2" t="str">
        <f>VLOOKUP(B80,'[1]2. ISIC行业分类'!$A$2:$B$102,2,FALSE)</f>
        <v>D3510</v>
      </c>
      <c r="B80" s="18" t="s">
        <v>65</v>
      </c>
      <c r="C80" s="19">
        <v>2019</v>
      </c>
      <c r="D80" s="20">
        <v>0</v>
      </c>
      <c r="E80" s="20">
        <v>2872.9259</v>
      </c>
      <c r="F80" s="17">
        <f t="shared" si="3"/>
        <v>0</v>
      </c>
      <c r="G80" s="20">
        <v>5682.35088</v>
      </c>
      <c r="H80" s="20">
        <v>9539.0763</v>
      </c>
      <c r="I80" s="28">
        <v>0.59569194136753</v>
      </c>
      <c r="J80" s="29">
        <v>8022.38537</v>
      </c>
      <c r="K80" s="28">
        <v>0.841002327447575</v>
      </c>
      <c r="L80" s="20">
        <v>403.92776</v>
      </c>
      <c r="M80" s="28">
        <v>0.0423445360217949</v>
      </c>
      <c r="N80" s="30">
        <v>10000</v>
      </c>
      <c r="O80" s="31" t="s">
        <v>66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1</v>
      </c>
      <c r="W80" s="1">
        <v>1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4</v>
      </c>
      <c r="AF80" s="1">
        <v>41353</v>
      </c>
      <c r="AG80" s="33">
        <f t="shared" si="2"/>
        <v>9.67281696612096e-5</v>
      </c>
      <c r="AH80" s="2">
        <v>0</v>
      </c>
      <c r="AI80" s="2">
        <v>0</v>
      </c>
      <c r="AJ80" s="2">
        <v>0</v>
      </c>
    </row>
    <row r="81" s="1" customFormat="1" spans="1:36">
      <c r="A81" s="2" t="str">
        <f>VLOOKUP(B81,'[1]2. ISIC行业分类'!$A$2:$B$102,2,FALSE)</f>
        <v>D3510</v>
      </c>
      <c r="B81" s="14" t="s">
        <v>65</v>
      </c>
      <c r="C81" s="15" t="s">
        <v>44</v>
      </c>
      <c r="D81" s="16">
        <v>0</v>
      </c>
      <c r="E81" s="16">
        <v>3401.63888</v>
      </c>
      <c r="F81" s="17">
        <f t="shared" si="3"/>
        <v>0</v>
      </c>
      <c r="G81" s="16">
        <v>6147.16021</v>
      </c>
      <c r="H81" s="16">
        <v>10656.23057</v>
      </c>
      <c r="I81" s="24">
        <v>0.576860660964471</v>
      </c>
      <c r="J81" s="25">
        <v>8995.87454</v>
      </c>
      <c r="K81" s="24">
        <v>0.844189179363825</v>
      </c>
      <c r="L81" s="16">
        <v>408.81605</v>
      </c>
      <c r="M81" s="24">
        <v>0.0383640394522732</v>
      </c>
      <c r="N81" s="26">
        <v>10250</v>
      </c>
      <c r="O81" s="27" t="s">
        <v>66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44305</v>
      </c>
      <c r="AG81" s="33">
        <f t="shared" si="2"/>
        <v>0</v>
      </c>
      <c r="AH81" s="1">
        <v>1</v>
      </c>
      <c r="AI81" s="1">
        <v>4</v>
      </c>
      <c r="AJ81" s="1">
        <v>1</v>
      </c>
    </row>
    <row r="82" s="1" customFormat="1" spans="1:36">
      <c r="A82" s="2" t="str">
        <f>VLOOKUP(B82,'[1]2. ISIC行业分类'!$A$2:$B$102,2,FALSE)</f>
        <v>G4669</v>
      </c>
      <c r="B82" s="14" t="s">
        <v>67</v>
      </c>
      <c r="C82" s="15" t="s">
        <v>39</v>
      </c>
      <c r="D82" s="16">
        <v>0</v>
      </c>
      <c r="E82" s="16">
        <v>655.52082</v>
      </c>
      <c r="F82" s="17">
        <f t="shared" si="3"/>
        <v>0</v>
      </c>
      <c r="G82" s="16">
        <v>276.08194</v>
      </c>
      <c r="H82" s="16">
        <v>462.04293</v>
      </c>
      <c r="I82" s="24">
        <v>0.597524433497987</v>
      </c>
      <c r="J82" s="25">
        <v>214.90996</v>
      </c>
      <c r="K82" s="24">
        <v>0.465129852760651</v>
      </c>
      <c r="L82" s="16">
        <v>52.91797</v>
      </c>
      <c r="M82" s="24">
        <v>0.114530418201616</v>
      </c>
      <c r="N82" s="26">
        <v>2018</v>
      </c>
      <c r="O82" s="27" t="s">
        <v>68</v>
      </c>
      <c r="P82" s="1">
        <v>0</v>
      </c>
      <c r="Q82" s="1">
        <v>0</v>
      </c>
      <c r="R82" s="1">
        <v>0</v>
      </c>
      <c r="S82" s="1">
        <v>0</v>
      </c>
      <c r="T82" s="1">
        <v>1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2</v>
      </c>
      <c r="AF82" s="1">
        <v>26282</v>
      </c>
      <c r="AG82" s="33">
        <f t="shared" si="2"/>
        <v>7.60977094589453e-5</v>
      </c>
      <c r="AH82" s="1">
        <v>2</v>
      </c>
      <c r="AI82" s="1">
        <v>36</v>
      </c>
      <c r="AJ82" s="1">
        <v>5</v>
      </c>
    </row>
    <row r="83" s="1" customFormat="1" spans="1:36">
      <c r="A83" s="2" t="str">
        <f>VLOOKUP(B83,'[1]2. ISIC行业分类'!$A$2:$B$102,2,FALSE)</f>
        <v>G4669</v>
      </c>
      <c r="B83" s="14" t="s">
        <v>67</v>
      </c>
      <c r="C83" s="15" t="s">
        <v>40</v>
      </c>
      <c r="D83" s="16">
        <v>0</v>
      </c>
      <c r="E83" s="16">
        <v>684.21804</v>
      </c>
      <c r="F83" s="17">
        <f t="shared" si="3"/>
        <v>0</v>
      </c>
      <c r="G83" s="16">
        <v>283.64902</v>
      </c>
      <c r="H83" s="16">
        <v>488.0673</v>
      </c>
      <c r="I83" s="24">
        <v>0.581167843041318</v>
      </c>
      <c r="J83" s="25">
        <v>234.29778</v>
      </c>
      <c r="K83" s="24">
        <v>0.480052197719454</v>
      </c>
      <c r="L83" s="16">
        <v>60.0445</v>
      </c>
      <c r="M83" s="24">
        <v>0.12302504183337</v>
      </c>
      <c r="N83" s="26">
        <v>2179</v>
      </c>
      <c r="O83" s="27" t="s">
        <v>68</v>
      </c>
      <c r="P83" s="1">
        <v>0</v>
      </c>
      <c r="Q83" s="1">
        <v>0</v>
      </c>
      <c r="R83" s="1">
        <v>0</v>
      </c>
      <c r="S83" s="1">
        <v>0</v>
      </c>
      <c r="T83" s="1">
        <v>1</v>
      </c>
      <c r="U83" s="1">
        <v>0</v>
      </c>
      <c r="V83" s="1">
        <v>1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4</v>
      </c>
      <c r="AF83" s="1">
        <v>28078</v>
      </c>
      <c r="AG83" s="33">
        <f t="shared" si="2"/>
        <v>0.000142460289194387</v>
      </c>
      <c r="AH83" s="1">
        <v>1</v>
      </c>
      <c r="AI83" s="1">
        <v>22</v>
      </c>
      <c r="AJ83" s="1">
        <v>5</v>
      </c>
    </row>
    <row r="84" s="2" customFormat="1" spans="1:36">
      <c r="A84" s="2" t="str">
        <f>VLOOKUP(B84,'[1]2. ISIC行业分类'!$A$2:$B$102,2,FALSE)</f>
        <v>G4669</v>
      </c>
      <c r="B84" s="14" t="s">
        <v>67</v>
      </c>
      <c r="C84" s="15" t="s">
        <v>41</v>
      </c>
      <c r="D84" s="16">
        <v>0</v>
      </c>
      <c r="E84" s="16">
        <v>806.69738</v>
      </c>
      <c r="F84" s="17">
        <f t="shared" si="3"/>
        <v>0</v>
      </c>
      <c r="G84" s="16">
        <v>282.9954</v>
      </c>
      <c r="H84" s="16">
        <v>553.84789</v>
      </c>
      <c r="I84" s="24">
        <v>0.510962314941743</v>
      </c>
      <c r="J84" s="25">
        <v>250.67723</v>
      </c>
      <c r="K84" s="24">
        <v>0.45261024647038</v>
      </c>
      <c r="L84" s="16">
        <v>80.54815</v>
      </c>
      <c r="M84" s="24">
        <v>0.145433703827959</v>
      </c>
      <c r="N84" s="26">
        <v>2290</v>
      </c>
      <c r="O84" s="27" t="s">
        <v>68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2</v>
      </c>
      <c r="AF84" s="1">
        <v>29186</v>
      </c>
      <c r="AG84" s="33">
        <f t="shared" si="2"/>
        <v>6.85260056191325e-5</v>
      </c>
      <c r="AH84" s="1">
        <v>1</v>
      </c>
      <c r="AI84" s="1">
        <v>19</v>
      </c>
      <c r="AJ84" s="1">
        <v>2</v>
      </c>
    </row>
    <row r="85" s="2" customFormat="1" spans="1:36">
      <c r="A85" s="2" t="str">
        <f>VLOOKUP(B85,'[1]2. ISIC行业分类'!$A$2:$B$102,2,FALSE)</f>
        <v>G4669</v>
      </c>
      <c r="B85" s="18" t="s">
        <v>67</v>
      </c>
      <c r="C85" s="19">
        <v>2018</v>
      </c>
      <c r="D85" s="20">
        <v>0</v>
      </c>
      <c r="E85" s="20">
        <v>885.26973</v>
      </c>
      <c r="F85" s="17">
        <f t="shared" si="3"/>
        <v>0</v>
      </c>
      <c r="G85" s="20">
        <v>299.24387</v>
      </c>
      <c r="H85" s="20">
        <v>613.94162</v>
      </c>
      <c r="I85" s="28">
        <v>0.487414210491219</v>
      </c>
      <c r="J85" s="29">
        <v>257.93427</v>
      </c>
      <c r="K85" s="28">
        <v>0.420128334026287</v>
      </c>
      <c r="L85" s="20">
        <v>84.80121</v>
      </c>
      <c r="M85" s="28">
        <v>0.138125853073783</v>
      </c>
      <c r="N85" s="30">
        <v>2451</v>
      </c>
      <c r="O85" s="31" t="s">
        <v>68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2</v>
      </c>
      <c r="AF85" s="1">
        <v>29497</v>
      </c>
      <c r="AG85" s="33">
        <f t="shared" si="2"/>
        <v>6.78035054412313e-5</v>
      </c>
      <c r="AH85" s="2">
        <v>0</v>
      </c>
      <c r="AI85" s="2">
        <v>0</v>
      </c>
      <c r="AJ85" s="2">
        <v>0</v>
      </c>
    </row>
    <row r="86" s="2" customFormat="1" spans="1:36">
      <c r="A86" s="2" t="str">
        <f>VLOOKUP(B86,'[1]2. ISIC行业分类'!$A$2:$B$102,2,FALSE)</f>
        <v>G4669</v>
      </c>
      <c r="B86" s="14" t="s">
        <v>67</v>
      </c>
      <c r="C86" s="15" t="s">
        <v>43</v>
      </c>
      <c r="D86" s="16">
        <v>0</v>
      </c>
      <c r="E86" s="16">
        <v>904.73211</v>
      </c>
      <c r="F86" s="17">
        <f t="shared" si="3"/>
        <v>0</v>
      </c>
      <c r="G86" s="16">
        <v>359.53391</v>
      </c>
      <c r="H86" s="16">
        <v>673.96566</v>
      </c>
      <c r="I86" s="24">
        <v>0.533460280454052</v>
      </c>
      <c r="J86" s="25">
        <v>282.50472</v>
      </c>
      <c r="K86" s="24">
        <v>0.419167825256854</v>
      </c>
      <c r="L86" s="16">
        <v>76.65128</v>
      </c>
      <c r="M86" s="24">
        <v>0.113731729299086</v>
      </c>
      <c r="N86" s="26">
        <v>2507</v>
      </c>
      <c r="O86" s="27" t="s">
        <v>68</v>
      </c>
      <c r="P86" s="1">
        <v>1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4</v>
      </c>
      <c r="AF86" s="1">
        <v>30578</v>
      </c>
      <c r="AG86" s="33">
        <f t="shared" si="2"/>
        <v>0.00013081300281248</v>
      </c>
      <c r="AH86" s="1">
        <v>1</v>
      </c>
      <c r="AI86" s="1">
        <v>12</v>
      </c>
      <c r="AJ86" s="1">
        <v>0</v>
      </c>
    </row>
    <row r="87" s="2" customFormat="1" spans="1:36">
      <c r="A87" s="2" t="str">
        <f>VLOOKUP(B87,'[1]2. ISIC行业分类'!$A$2:$B$102,2,FALSE)</f>
        <v>C2825</v>
      </c>
      <c r="B87" s="14" t="s">
        <v>69</v>
      </c>
      <c r="C87" s="15" t="s">
        <v>37</v>
      </c>
      <c r="D87" s="16">
        <v>111.9232</v>
      </c>
      <c r="E87" s="16">
        <v>2824.35371</v>
      </c>
      <c r="F87" s="17">
        <f t="shared" si="3"/>
        <v>0.0396278977394797</v>
      </c>
      <c r="G87" s="16">
        <v>1412.27752</v>
      </c>
      <c r="H87" s="16">
        <v>2621.90948</v>
      </c>
      <c r="I87" s="24">
        <v>0.53864465221736</v>
      </c>
      <c r="J87" s="25">
        <v>1337.88355</v>
      </c>
      <c r="K87" s="24">
        <v>0.510270686385405</v>
      </c>
      <c r="L87" s="16">
        <v>188.65265</v>
      </c>
      <c r="M87" s="24">
        <v>0.0719523886842958</v>
      </c>
      <c r="N87" s="26">
        <v>11554</v>
      </c>
      <c r="O87" s="27" t="s">
        <v>70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35370</v>
      </c>
      <c r="AG87" s="33">
        <f t="shared" si="2"/>
        <v>0</v>
      </c>
      <c r="AH87" s="1">
        <v>21</v>
      </c>
      <c r="AI87" s="1">
        <v>397</v>
      </c>
      <c r="AJ87" s="1">
        <v>130</v>
      </c>
    </row>
    <row r="88" s="2" customFormat="1" spans="1:36">
      <c r="A88" s="2" t="str">
        <f>VLOOKUP(B88,'[1]2. ISIC行业分类'!$A$2:$B$102,2,FALSE)</f>
        <v>C2825</v>
      </c>
      <c r="B88" s="14" t="s">
        <v>69</v>
      </c>
      <c r="C88" s="15" t="s">
        <v>39</v>
      </c>
      <c r="D88" s="16">
        <v>99.944</v>
      </c>
      <c r="E88" s="16">
        <v>2487.39026</v>
      </c>
      <c r="F88" s="17">
        <f t="shared" si="3"/>
        <v>0.0401802650783074</v>
      </c>
      <c r="G88" s="16">
        <v>1198.05036</v>
      </c>
      <c r="H88" s="16">
        <v>2350.75559</v>
      </c>
      <c r="I88" s="24">
        <v>0.509644798930373</v>
      </c>
      <c r="J88" s="25">
        <v>1305.52032</v>
      </c>
      <c r="K88" s="24">
        <v>0.555361997458868</v>
      </c>
      <c r="L88" s="16">
        <v>138.13286</v>
      </c>
      <c r="M88" s="24">
        <v>0.0587610471235761</v>
      </c>
      <c r="N88" s="26">
        <v>11072</v>
      </c>
      <c r="O88" s="27" t="s">
        <v>70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33632</v>
      </c>
      <c r="AG88" s="33">
        <f t="shared" si="2"/>
        <v>0</v>
      </c>
      <c r="AH88" s="1">
        <v>16</v>
      </c>
      <c r="AI88" s="1">
        <v>213</v>
      </c>
      <c r="AJ88" s="1">
        <v>62</v>
      </c>
    </row>
    <row r="89" s="2" customFormat="1" spans="1:36">
      <c r="A89" s="2" t="str">
        <f>VLOOKUP(B89,'[1]2. ISIC行业分类'!$A$2:$B$102,2,FALSE)</f>
        <v>C2825</v>
      </c>
      <c r="B89" s="14" t="s">
        <v>69</v>
      </c>
      <c r="C89" s="15" t="s">
        <v>40</v>
      </c>
      <c r="D89" s="16">
        <v>100.891</v>
      </c>
      <c r="E89" s="16">
        <v>2343.42082</v>
      </c>
      <c r="F89" s="17">
        <f t="shared" si="3"/>
        <v>0.0430528734484829</v>
      </c>
      <c r="G89" s="16">
        <v>1177.42031</v>
      </c>
      <c r="H89" s="16">
        <v>2382.01185</v>
      </c>
      <c r="I89" s="24">
        <v>0.494296579590903</v>
      </c>
      <c r="J89" s="25">
        <v>1330.0124</v>
      </c>
      <c r="K89" s="24">
        <v>0.558356752087526</v>
      </c>
      <c r="L89" s="16">
        <v>116.85601</v>
      </c>
      <c r="M89" s="24">
        <v>0.0490576946542059</v>
      </c>
      <c r="N89" s="26">
        <v>11175</v>
      </c>
      <c r="O89" s="27" t="s">
        <v>70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33837</v>
      </c>
      <c r="AG89" s="33">
        <f t="shared" si="2"/>
        <v>0</v>
      </c>
      <c r="AH89" s="1">
        <v>7</v>
      </c>
      <c r="AI89" s="1">
        <v>109</v>
      </c>
      <c r="AJ89" s="1">
        <v>43</v>
      </c>
    </row>
    <row r="90" s="2" customFormat="1" spans="1:36">
      <c r="A90" s="2" t="str">
        <f>VLOOKUP(B90,'[1]2. ISIC行业分类'!$A$2:$B$102,2,FALSE)</f>
        <v>C2825</v>
      </c>
      <c r="B90" s="14" t="s">
        <v>69</v>
      </c>
      <c r="C90" s="15" t="s">
        <v>41</v>
      </c>
      <c r="D90" s="16">
        <v>112.2</v>
      </c>
      <c r="E90" s="16">
        <v>2716.50796</v>
      </c>
      <c r="F90" s="17">
        <f t="shared" si="3"/>
        <v>0.0413030264045315</v>
      </c>
      <c r="G90" s="16">
        <v>1321.31423</v>
      </c>
      <c r="H90" s="16">
        <v>2790.7979</v>
      </c>
      <c r="I90" s="24">
        <v>0.473453928713362</v>
      </c>
      <c r="J90" s="25">
        <v>1482.72041</v>
      </c>
      <c r="K90" s="24">
        <v>0.531289066112598</v>
      </c>
      <c r="L90" s="16">
        <v>175.36119</v>
      </c>
      <c r="M90" s="24">
        <v>0.0628355030652703</v>
      </c>
      <c r="N90" s="26">
        <v>12108</v>
      </c>
      <c r="O90" s="27" t="s">
        <v>70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32299</v>
      </c>
      <c r="AG90" s="33">
        <f t="shared" si="2"/>
        <v>0</v>
      </c>
      <c r="AH90" s="1">
        <v>13</v>
      </c>
      <c r="AI90" s="1">
        <v>249</v>
      </c>
      <c r="AJ90" s="1">
        <v>43</v>
      </c>
    </row>
    <row r="91" s="2" customFormat="1" spans="1:36">
      <c r="A91" s="2" t="str">
        <f>VLOOKUP(B91,'[1]2. ISIC行业分类'!$A$2:$B$102,2,FALSE)</f>
        <v>C2825</v>
      </c>
      <c r="B91" s="14" t="s">
        <v>69</v>
      </c>
      <c r="C91" s="15" t="s">
        <v>42</v>
      </c>
      <c r="D91" s="16">
        <v>120.87</v>
      </c>
      <c r="E91" s="16">
        <v>3114.45587</v>
      </c>
      <c r="F91" s="17">
        <f t="shared" si="3"/>
        <v>0.0388093474575384</v>
      </c>
      <c r="G91" s="16">
        <v>1267.5312</v>
      </c>
      <c r="H91" s="16">
        <v>2584.65791</v>
      </c>
      <c r="I91" s="24">
        <v>0.490405788362143</v>
      </c>
      <c r="J91" s="25">
        <v>1521.20005</v>
      </c>
      <c r="K91" s="24">
        <v>0.588549859582772</v>
      </c>
      <c r="L91" s="16">
        <v>226.63523</v>
      </c>
      <c r="M91" s="24">
        <v>0.0876848070002424</v>
      </c>
      <c r="N91" s="26">
        <v>13054</v>
      </c>
      <c r="O91" s="27" t="s">
        <v>70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33729</v>
      </c>
      <c r="AG91" s="33">
        <f t="shared" si="2"/>
        <v>0</v>
      </c>
      <c r="AH91" s="1">
        <v>14</v>
      </c>
      <c r="AI91" s="1">
        <v>100</v>
      </c>
      <c r="AJ91" s="1">
        <v>28</v>
      </c>
    </row>
    <row r="92" s="2" customFormat="1" spans="1:36">
      <c r="A92" s="2" t="str">
        <f>VLOOKUP(B92,'[1]2. ISIC行业分类'!$A$2:$B$102,2,FALSE)</f>
        <v>C2825</v>
      </c>
      <c r="B92" s="14" t="s">
        <v>69</v>
      </c>
      <c r="C92" s="15" t="s">
        <v>43</v>
      </c>
      <c r="D92" s="16">
        <v>128.775</v>
      </c>
      <c r="E92" s="16">
        <v>3207.05428</v>
      </c>
      <c r="F92" s="17">
        <f t="shared" si="3"/>
        <v>0.0401536702397192</v>
      </c>
      <c r="G92" s="16">
        <v>1189.68704</v>
      </c>
      <c r="H92" s="16">
        <v>2627.9053</v>
      </c>
      <c r="I92" s="24">
        <v>0.452713056288596</v>
      </c>
      <c r="J92" s="25">
        <v>1566.14937</v>
      </c>
      <c r="K92" s="24">
        <v>0.595968724595974</v>
      </c>
      <c r="L92" s="16">
        <v>231.39114</v>
      </c>
      <c r="M92" s="24">
        <v>0.0880515519337778</v>
      </c>
      <c r="N92" s="26">
        <v>13107</v>
      </c>
      <c r="O92" s="27" t="s">
        <v>70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28751</v>
      </c>
      <c r="AG92" s="33">
        <f t="shared" si="2"/>
        <v>0</v>
      </c>
      <c r="AH92" s="1">
        <v>12</v>
      </c>
      <c r="AI92" s="1">
        <v>146</v>
      </c>
      <c r="AJ92" s="1">
        <v>23</v>
      </c>
    </row>
    <row r="93" s="2" customFormat="1" spans="1:36">
      <c r="A93" s="2" t="str">
        <f>VLOOKUP(B93,'[1]2. ISIC行业分类'!$A$2:$B$102,2,FALSE)</f>
        <v>C2825</v>
      </c>
      <c r="B93" s="14" t="s">
        <v>69</v>
      </c>
      <c r="C93" s="15" t="s">
        <v>44</v>
      </c>
      <c r="D93" s="16">
        <v>119.84</v>
      </c>
      <c r="E93" s="16">
        <v>3097.71122</v>
      </c>
      <c r="F93" s="17">
        <f t="shared" si="3"/>
        <v>0.0386866274771733</v>
      </c>
      <c r="G93" s="16">
        <v>1175.4733</v>
      </c>
      <c r="H93" s="16">
        <v>2747.44278</v>
      </c>
      <c r="I93" s="24">
        <v>0.427842686499917</v>
      </c>
      <c r="J93" s="25">
        <v>1737.43996</v>
      </c>
      <c r="K93" s="24">
        <v>0.632384402196722</v>
      </c>
      <c r="L93" s="16">
        <v>169.99152</v>
      </c>
      <c r="M93" s="24">
        <v>0.0618726334311501</v>
      </c>
      <c r="N93" s="26">
        <v>12598</v>
      </c>
      <c r="O93" s="27" t="s">
        <v>70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2</v>
      </c>
      <c r="AF93" s="1">
        <v>28032</v>
      </c>
      <c r="AG93" s="33">
        <f t="shared" si="2"/>
        <v>7.13470319634703e-5</v>
      </c>
      <c r="AH93" s="1">
        <v>9</v>
      </c>
      <c r="AI93" s="1">
        <v>69</v>
      </c>
      <c r="AJ93" s="1">
        <v>11</v>
      </c>
    </row>
    <row r="94" s="2" customFormat="1" spans="1:36">
      <c r="A94" s="2" t="str">
        <f>VLOOKUP(B94,'[1]2. ISIC行业分类'!$A$2:$B$102,2,FALSE)</f>
        <v>C2825</v>
      </c>
      <c r="B94" s="14" t="s">
        <v>69</v>
      </c>
      <c r="C94" s="15" t="s">
        <v>45</v>
      </c>
      <c r="D94" s="16">
        <v>128.729</v>
      </c>
      <c r="E94" s="16">
        <v>3484.38477</v>
      </c>
      <c r="F94" s="17">
        <f t="shared" si="3"/>
        <v>0.0369445421494022</v>
      </c>
      <c r="G94" s="16">
        <v>1355.40418</v>
      </c>
      <c r="H94" s="16">
        <v>3036.60557</v>
      </c>
      <c r="I94" s="24">
        <v>0.446355033195833</v>
      </c>
      <c r="J94" s="25">
        <v>1722.99558</v>
      </c>
      <c r="K94" s="24">
        <v>0.56740842374204</v>
      </c>
      <c r="L94" s="16">
        <v>291.24297</v>
      </c>
      <c r="M94" s="24">
        <v>0.0959107013690948</v>
      </c>
      <c r="N94" s="26">
        <v>13562</v>
      </c>
      <c r="O94" s="27" t="s">
        <v>70</v>
      </c>
      <c r="P94" s="1">
        <v>2</v>
      </c>
      <c r="Q94" s="1">
        <v>0</v>
      </c>
      <c r="R94" s="1">
        <v>0</v>
      </c>
      <c r="S94" s="1">
        <v>4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8</v>
      </c>
      <c r="AF94" s="1">
        <v>27924</v>
      </c>
      <c r="AG94" s="33">
        <f t="shared" si="2"/>
        <v>0.000286491906603638</v>
      </c>
      <c r="AH94" s="1">
        <v>6</v>
      </c>
      <c r="AI94" s="1">
        <v>33</v>
      </c>
      <c r="AJ94" s="1">
        <v>3</v>
      </c>
    </row>
    <row r="95" s="2" customFormat="1" spans="1:36">
      <c r="A95" s="2" t="str">
        <f>VLOOKUP(B95,'[1]2. ISIC行业分类'!$A$2:$B$102,2,FALSE)</f>
        <v>C2825</v>
      </c>
      <c r="B95" s="14" t="s">
        <v>69</v>
      </c>
      <c r="C95" s="15" t="s">
        <v>48</v>
      </c>
      <c r="D95" s="16">
        <v>129.045</v>
      </c>
      <c r="E95" s="16">
        <v>3889.82015</v>
      </c>
      <c r="F95" s="17">
        <f t="shared" si="3"/>
        <v>0.033175055664206</v>
      </c>
      <c r="G95" s="16">
        <v>1380.92509</v>
      </c>
      <c r="H95" s="16">
        <v>3221.36546</v>
      </c>
      <c r="I95" s="24">
        <v>0.428676940616356</v>
      </c>
      <c r="J95" s="25">
        <v>1709.79917</v>
      </c>
      <c r="K95" s="24">
        <v>0.530768455560457</v>
      </c>
      <c r="L95" s="16">
        <v>358.18184</v>
      </c>
      <c r="M95" s="24">
        <v>0.111189445732742</v>
      </c>
      <c r="N95" s="26">
        <v>12679</v>
      </c>
      <c r="O95" s="27" t="s">
        <v>70</v>
      </c>
      <c r="P95" s="1">
        <v>3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1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10</v>
      </c>
      <c r="AF95" s="1">
        <v>32981</v>
      </c>
      <c r="AG95" s="33">
        <f t="shared" si="2"/>
        <v>0.000303204875534399</v>
      </c>
      <c r="AH95" s="1">
        <v>9</v>
      </c>
      <c r="AI95" s="1">
        <v>52</v>
      </c>
      <c r="AJ95" s="1">
        <v>2</v>
      </c>
    </row>
    <row r="96" s="2" customFormat="1" spans="1:36">
      <c r="A96" s="2" t="str">
        <f>VLOOKUP(B96,'[1]2. ISIC行业分类'!$A$2:$B$102,2,FALSE)</f>
        <v>C2825</v>
      </c>
      <c r="B96" s="14" t="s">
        <v>69</v>
      </c>
      <c r="C96" s="15" t="s">
        <v>71</v>
      </c>
      <c r="D96" s="16">
        <v>143.424</v>
      </c>
      <c r="E96" s="16">
        <v>4245.30319</v>
      </c>
      <c r="F96" s="17">
        <f t="shared" si="3"/>
        <v>0.0337841594771939</v>
      </c>
      <c r="G96" s="16">
        <v>1356.79168</v>
      </c>
      <c r="H96" s="16">
        <v>3513.28884</v>
      </c>
      <c r="I96" s="24">
        <v>0.386188480876511</v>
      </c>
      <c r="J96" s="25">
        <v>1895.70815</v>
      </c>
      <c r="K96" s="24">
        <v>0.539582208105611</v>
      </c>
      <c r="L96" s="16">
        <v>418.14123</v>
      </c>
      <c r="M96" s="24">
        <v>0.119017037608556</v>
      </c>
      <c r="N96" s="26">
        <v>13224</v>
      </c>
      <c r="O96" s="27" t="s">
        <v>70</v>
      </c>
      <c r="P96" s="1">
        <v>2</v>
      </c>
      <c r="Q96" s="1">
        <v>0</v>
      </c>
      <c r="R96" s="1">
        <v>0</v>
      </c>
      <c r="S96" s="1">
        <v>1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5</v>
      </c>
      <c r="AF96" s="1">
        <v>33455</v>
      </c>
      <c r="AG96" s="33">
        <f t="shared" si="2"/>
        <v>0.000149454491107458</v>
      </c>
      <c r="AH96" s="1">
        <v>1</v>
      </c>
      <c r="AI96" s="1">
        <v>7</v>
      </c>
      <c r="AJ96" s="1">
        <v>0</v>
      </c>
    </row>
    <row r="97" s="2" customFormat="1" spans="1:36">
      <c r="A97" s="2" t="str">
        <f>VLOOKUP(B97,'[1]2. ISIC行业分类'!$A$2:$B$102,2,FALSE)</f>
        <v>C2813</v>
      </c>
      <c r="B97" s="14" t="s">
        <v>72</v>
      </c>
      <c r="C97" s="15" t="s">
        <v>37</v>
      </c>
      <c r="D97" s="16">
        <v>9.96572</v>
      </c>
      <c r="E97" s="16">
        <v>503.39054</v>
      </c>
      <c r="F97" s="17">
        <f t="shared" si="3"/>
        <v>0.0197971936461102</v>
      </c>
      <c r="G97" s="16">
        <v>325.20335</v>
      </c>
      <c r="H97" s="16">
        <v>730.76149</v>
      </c>
      <c r="I97" s="24">
        <v>0.445019824457362</v>
      </c>
      <c r="J97" s="25">
        <v>223.32764</v>
      </c>
      <c r="K97" s="24">
        <v>0.30560948141917</v>
      </c>
      <c r="L97" s="16">
        <v>61.00709</v>
      </c>
      <c r="M97" s="24">
        <v>0.0834842706339109</v>
      </c>
      <c r="N97" s="26">
        <v>1232</v>
      </c>
      <c r="O97" s="27" t="s">
        <v>73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34503</v>
      </c>
      <c r="AG97" s="33">
        <f t="shared" si="2"/>
        <v>0</v>
      </c>
      <c r="AH97" s="1">
        <v>3</v>
      </c>
      <c r="AI97" s="1">
        <v>50</v>
      </c>
      <c r="AJ97" s="1">
        <v>17</v>
      </c>
    </row>
    <row r="98" s="2" customFormat="1" spans="1:36">
      <c r="A98" s="2" t="str">
        <f>VLOOKUP(B98,'[1]2. ISIC行业分类'!$A$2:$B$102,2,FALSE)</f>
        <v>C2813</v>
      </c>
      <c r="B98" s="14" t="s">
        <v>72</v>
      </c>
      <c r="C98" s="15" t="s">
        <v>39</v>
      </c>
      <c r="D98" s="16">
        <v>11.07928</v>
      </c>
      <c r="E98" s="16">
        <v>488.06133</v>
      </c>
      <c r="F98" s="17">
        <f t="shared" si="3"/>
        <v>0.0227005896984299</v>
      </c>
      <c r="G98" s="16">
        <v>353.2397</v>
      </c>
      <c r="H98" s="16">
        <v>702.099</v>
      </c>
      <c r="I98" s="24">
        <v>0.50311950309002</v>
      </c>
      <c r="J98" s="25">
        <v>212.15918</v>
      </c>
      <c r="K98" s="24">
        <v>0.302178439222959</v>
      </c>
      <c r="L98" s="16">
        <v>59.30693</v>
      </c>
      <c r="M98" s="24">
        <v>0.0844708937058734</v>
      </c>
      <c r="N98" s="26">
        <v>1385</v>
      </c>
      <c r="O98" s="27" t="s">
        <v>73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34938</v>
      </c>
      <c r="AG98" s="33">
        <f t="shared" si="2"/>
        <v>0</v>
      </c>
      <c r="AH98" s="1">
        <v>2</v>
      </c>
      <c r="AI98" s="1">
        <v>27</v>
      </c>
      <c r="AJ98" s="1">
        <v>2</v>
      </c>
    </row>
    <row r="99" s="2" customFormat="1" spans="1:36">
      <c r="A99" s="2" t="str">
        <f>VLOOKUP(B99,'[1]2. ISIC行业分类'!$A$2:$B$102,2,FALSE)</f>
        <v>C2813</v>
      </c>
      <c r="B99" s="14" t="s">
        <v>72</v>
      </c>
      <c r="C99" s="15" t="s">
        <v>40</v>
      </c>
      <c r="D99" s="16">
        <v>12.1214</v>
      </c>
      <c r="E99" s="16">
        <v>508.34664</v>
      </c>
      <c r="F99" s="17">
        <f t="shared" si="3"/>
        <v>0.0238447528639119</v>
      </c>
      <c r="G99" s="16">
        <v>368.21288</v>
      </c>
      <c r="H99" s="16">
        <v>738.69083</v>
      </c>
      <c r="I99" s="24">
        <v>0.498466834900333</v>
      </c>
      <c r="J99" s="25">
        <v>250.1518</v>
      </c>
      <c r="K99" s="24">
        <v>0.338642081153221</v>
      </c>
      <c r="L99" s="16">
        <v>57.91</v>
      </c>
      <c r="M99" s="24">
        <v>0.0783954499611157</v>
      </c>
      <c r="N99" s="26">
        <v>1432</v>
      </c>
      <c r="O99" s="27" t="s">
        <v>73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35532</v>
      </c>
      <c r="AG99" s="33">
        <f t="shared" si="2"/>
        <v>0</v>
      </c>
      <c r="AH99" s="1">
        <v>5</v>
      </c>
      <c r="AI99" s="1">
        <v>209</v>
      </c>
      <c r="AJ99" s="1">
        <v>31</v>
      </c>
    </row>
    <row r="100" s="2" customFormat="1" spans="1:36">
      <c r="A100" s="2" t="str">
        <f>VLOOKUP(B100,'[1]2. ISIC行业分类'!$A$2:$B$102,2,FALSE)</f>
        <v>C2813</v>
      </c>
      <c r="B100" s="14" t="s">
        <v>72</v>
      </c>
      <c r="C100" s="15" t="s">
        <v>41</v>
      </c>
      <c r="D100" s="16">
        <v>8.79333</v>
      </c>
      <c r="E100" s="16">
        <v>557.61905</v>
      </c>
      <c r="F100" s="17">
        <f t="shared" si="3"/>
        <v>0.0157694217943236</v>
      </c>
      <c r="G100" s="16">
        <v>493.76818</v>
      </c>
      <c r="H100" s="16">
        <v>810.81095</v>
      </c>
      <c r="I100" s="24">
        <v>0.608980650791655</v>
      </c>
      <c r="J100" s="25">
        <v>309.38422</v>
      </c>
      <c r="K100" s="24">
        <v>0.38157380582983</v>
      </c>
      <c r="L100" s="16">
        <v>30.89913</v>
      </c>
      <c r="M100" s="24">
        <v>0.0381089204579687</v>
      </c>
      <c r="N100" s="26">
        <v>2107</v>
      </c>
      <c r="O100" s="27" t="s">
        <v>73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30895</v>
      </c>
      <c r="AG100" s="33">
        <f t="shared" si="2"/>
        <v>0</v>
      </c>
      <c r="AH100" s="1">
        <v>4</v>
      </c>
      <c r="AI100" s="1">
        <v>62</v>
      </c>
      <c r="AJ100" s="1">
        <v>25</v>
      </c>
    </row>
    <row r="101" s="2" customFormat="1" spans="1:36">
      <c r="A101" s="2" t="str">
        <f>VLOOKUP(B101,'[1]2. ISIC行业分类'!$A$2:$B$102,2,FALSE)</f>
        <v>C2813</v>
      </c>
      <c r="B101" s="14" t="s">
        <v>72</v>
      </c>
      <c r="C101" s="15" t="s">
        <v>42</v>
      </c>
      <c r="D101" s="16">
        <v>8.39416</v>
      </c>
      <c r="E101" s="16">
        <v>623.55693</v>
      </c>
      <c r="F101" s="17">
        <f t="shared" si="3"/>
        <v>0.0134617379683359</v>
      </c>
      <c r="G101" s="16">
        <v>484.92218</v>
      </c>
      <c r="H101" s="16">
        <v>836.46174</v>
      </c>
      <c r="I101" s="24">
        <v>0.579730257596719</v>
      </c>
      <c r="J101" s="25">
        <v>334.06955</v>
      </c>
      <c r="K101" s="24">
        <v>0.399384136804631</v>
      </c>
      <c r="L101" s="16">
        <v>30.24268</v>
      </c>
      <c r="M101" s="24">
        <v>0.03615548512715</v>
      </c>
      <c r="N101" s="26">
        <v>2214</v>
      </c>
      <c r="O101" s="27" t="s">
        <v>73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30260</v>
      </c>
      <c r="AG101" s="33">
        <f t="shared" si="2"/>
        <v>0</v>
      </c>
      <c r="AH101" s="1">
        <v>4</v>
      </c>
      <c r="AI101" s="1">
        <v>118</v>
      </c>
      <c r="AJ101" s="1">
        <v>6</v>
      </c>
    </row>
    <row r="102" s="2" customFormat="1" spans="1:36">
      <c r="A102" s="2" t="str">
        <f>VLOOKUP(B102,'[1]2. ISIC行业分类'!$A$2:$B$102,2,FALSE)</f>
        <v>C2813</v>
      </c>
      <c r="B102" s="14" t="s">
        <v>72</v>
      </c>
      <c r="C102" s="15" t="s">
        <v>43</v>
      </c>
      <c r="D102" s="16">
        <v>8.7495</v>
      </c>
      <c r="E102" s="16">
        <v>601.92849</v>
      </c>
      <c r="F102" s="17">
        <f t="shared" si="3"/>
        <v>0.014535779823281</v>
      </c>
      <c r="G102" s="16">
        <v>505.92407</v>
      </c>
      <c r="H102" s="16">
        <v>852.48293</v>
      </c>
      <c r="I102" s="24">
        <v>0.593471202995232</v>
      </c>
      <c r="J102" s="25">
        <v>332.20972</v>
      </c>
      <c r="K102" s="24">
        <v>0.389696624189296</v>
      </c>
      <c r="L102" s="16">
        <v>27.76617</v>
      </c>
      <c r="M102" s="24">
        <v>0.0325709395729484</v>
      </c>
      <c r="N102" s="26">
        <v>2346</v>
      </c>
      <c r="O102" s="27" t="s">
        <v>73</v>
      </c>
      <c r="AH102" s="1">
        <v>4</v>
      </c>
      <c r="AI102" s="1">
        <v>196</v>
      </c>
      <c r="AJ102" s="1">
        <v>6</v>
      </c>
    </row>
    <row r="103" s="2" customFormat="1" spans="1:36">
      <c r="A103" s="2" t="str">
        <f>VLOOKUP(B103,'[1]2. ISIC行业分类'!$A$2:$B$102,2,FALSE)</f>
        <v>C2813</v>
      </c>
      <c r="B103" s="14" t="s">
        <v>72</v>
      </c>
      <c r="C103" s="15" t="s">
        <v>44</v>
      </c>
      <c r="D103" s="16">
        <v>10.9107</v>
      </c>
      <c r="E103" s="16">
        <v>653.40148</v>
      </c>
      <c r="F103" s="17">
        <f t="shared" si="3"/>
        <v>0.0166983092845152</v>
      </c>
      <c r="G103" s="16">
        <v>586.88807</v>
      </c>
      <c r="H103" s="16">
        <v>916.40496</v>
      </c>
      <c r="I103" s="24">
        <v>0.640424370902576</v>
      </c>
      <c r="J103" s="25">
        <v>361.26823</v>
      </c>
      <c r="K103" s="24">
        <v>0.394223346412267</v>
      </c>
      <c r="L103" s="16">
        <v>33.61528</v>
      </c>
      <c r="M103" s="24">
        <v>0.0366816871004277</v>
      </c>
      <c r="N103" s="26">
        <v>2621</v>
      </c>
      <c r="O103" s="27" t="s">
        <v>73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35424</v>
      </c>
      <c r="AG103" s="33">
        <f t="shared" ref="AG103:AG121" si="4">AE103/AF103</f>
        <v>0</v>
      </c>
      <c r="AH103" s="1">
        <v>2</v>
      </c>
      <c r="AI103" s="1">
        <v>19</v>
      </c>
      <c r="AJ103" s="1">
        <v>1</v>
      </c>
    </row>
    <row r="104" s="2" customFormat="1" spans="1:36">
      <c r="A104" s="2" t="str">
        <f>VLOOKUP(B104,'[1]2. ISIC行业分类'!$A$2:$B$102,2,FALSE)</f>
        <v>C2822</v>
      </c>
      <c r="B104" s="14" t="s">
        <v>74</v>
      </c>
      <c r="C104" s="15" t="s">
        <v>37</v>
      </c>
      <c r="D104" s="16">
        <v>0</v>
      </c>
      <c r="E104" s="16">
        <v>1167.25054</v>
      </c>
      <c r="F104" s="17">
        <f t="shared" si="3"/>
        <v>0</v>
      </c>
      <c r="G104" s="16">
        <v>320.42764</v>
      </c>
      <c r="H104" s="16">
        <v>1460.79971</v>
      </c>
      <c r="I104" s="24">
        <v>0.219350837631259</v>
      </c>
      <c r="J104" s="25">
        <v>794.87799</v>
      </c>
      <c r="K104" s="24">
        <v>0.544138929217066</v>
      </c>
      <c r="L104" s="16">
        <v>61.81042</v>
      </c>
      <c r="M104" s="24">
        <v>0.0423127274580305</v>
      </c>
      <c r="N104" s="26">
        <v>3337</v>
      </c>
      <c r="O104" s="27" t="s">
        <v>75</v>
      </c>
      <c r="AH104" s="1">
        <v>5</v>
      </c>
      <c r="AI104" s="1">
        <v>91</v>
      </c>
      <c r="AJ104" s="1">
        <v>48</v>
      </c>
    </row>
    <row r="105" s="2" customFormat="1" spans="1:36">
      <c r="A105" s="2" t="str">
        <f>VLOOKUP(B105,'[1]2. ISIC行业分类'!$A$2:$B$102,2,FALSE)</f>
        <v>C2822</v>
      </c>
      <c r="B105" s="14" t="s">
        <v>74</v>
      </c>
      <c r="C105" s="15" t="s">
        <v>39</v>
      </c>
      <c r="D105" s="16">
        <v>0</v>
      </c>
      <c r="E105" s="16">
        <v>1130.03266</v>
      </c>
      <c r="F105" s="17">
        <f t="shared" si="3"/>
        <v>0</v>
      </c>
      <c r="G105" s="16">
        <v>261.48361</v>
      </c>
      <c r="H105" s="16">
        <v>1220.22353</v>
      </c>
      <c r="I105" s="24">
        <v>0.214291565087259</v>
      </c>
      <c r="J105" s="25">
        <v>539.84679</v>
      </c>
      <c r="K105" s="24">
        <v>0.442416308756151</v>
      </c>
      <c r="L105" s="16">
        <v>59.22833</v>
      </c>
      <c r="M105" s="24">
        <v>0.0485389181111759</v>
      </c>
      <c r="N105" s="26">
        <v>3479</v>
      </c>
      <c r="O105" s="27" t="s">
        <v>75</v>
      </c>
      <c r="AH105" s="1">
        <v>6</v>
      </c>
      <c r="AI105" s="1">
        <v>89</v>
      </c>
      <c r="AJ105" s="1">
        <v>92</v>
      </c>
    </row>
    <row r="106" s="2" customFormat="1" spans="1:36">
      <c r="A106" s="2" t="str">
        <f>VLOOKUP(B106,'[1]2. ISIC行业分类'!$A$2:$B$102,2,FALSE)</f>
        <v>C2822</v>
      </c>
      <c r="B106" s="14" t="s">
        <v>74</v>
      </c>
      <c r="C106" s="15" t="s">
        <v>40</v>
      </c>
      <c r="D106" s="16">
        <v>0</v>
      </c>
      <c r="E106" s="16">
        <v>1191.20282</v>
      </c>
      <c r="F106" s="17">
        <f t="shared" si="3"/>
        <v>0</v>
      </c>
      <c r="G106" s="16">
        <v>309.02361</v>
      </c>
      <c r="H106" s="16">
        <v>1235.89754</v>
      </c>
      <c r="I106" s="24">
        <v>0.250039829353492</v>
      </c>
      <c r="J106" s="25">
        <v>540.66826</v>
      </c>
      <c r="K106" s="24">
        <v>0.437470132030524</v>
      </c>
      <c r="L106" s="16">
        <v>59.2648</v>
      </c>
      <c r="M106" s="24">
        <v>0.0479528424338477</v>
      </c>
      <c r="N106" s="26">
        <v>4098</v>
      </c>
      <c r="O106" s="27" t="s">
        <v>75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31151</v>
      </c>
      <c r="AG106" s="33">
        <f t="shared" si="4"/>
        <v>0</v>
      </c>
      <c r="AH106" s="1">
        <v>5</v>
      </c>
      <c r="AI106" s="1">
        <v>87</v>
      </c>
      <c r="AJ106" s="1">
        <v>44</v>
      </c>
    </row>
    <row r="107" s="2" customFormat="1" spans="1:36">
      <c r="A107" s="2" t="str">
        <f>VLOOKUP(B107,'[1]2. ISIC行业分类'!$A$2:$B$102,2,FALSE)</f>
        <v>C2822</v>
      </c>
      <c r="B107" s="14" t="s">
        <v>74</v>
      </c>
      <c r="C107" s="15" t="s">
        <v>41</v>
      </c>
      <c r="D107" s="16">
        <v>0</v>
      </c>
      <c r="E107" s="16">
        <v>1521.50714</v>
      </c>
      <c r="F107" s="17">
        <f t="shared" si="3"/>
        <v>0</v>
      </c>
      <c r="G107" s="16">
        <v>431.37416</v>
      </c>
      <c r="H107" s="16">
        <v>1357.84354</v>
      </c>
      <c r="I107" s="24">
        <v>0.31769062288281</v>
      </c>
      <c r="J107" s="25">
        <v>615.66245</v>
      </c>
      <c r="K107" s="24">
        <v>0.453411922554789</v>
      </c>
      <c r="L107" s="16">
        <v>85.88491</v>
      </c>
      <c r="M107" s="24">
        <v>0.0632509618891732</v>
      </c>
      <c r="N107" s="26">
        <v>4717</v>
      </c>
      <c r="O107" s="27" t="s">
        <v>75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31603</v>
      </c>
      <c r="AG107" s="33">
        <f t="shared" si="4"/>
        <v>0</v>
      </c>
      <c r="AH107" s="1">
        <v>1</v>
      </c>
      <c r="AI107" s="1">
        <v>28</v>
      </c>
      <c r="AJ107" s="1">
        <v>4</v>
      </c>
    </row>
    <row r="108" s="2" customFormat="1" spans="1:36">
      <c r="A108" s="2" t="str">
        <f>VLOOKUP(B108,'[1]2. ISIC行业分类'!$A$2:$B$102,2,FALSE)</f>
        <v>C2822</v>
      </c>
      <c r="B108" s="14" t="s">
        <v>74</v>
      </c>
      <c r="C108" s="15" t="s">
        <v>42</v>
      </c>
      <c r="D108" s="16">
        <v>0</v>
      </c>
      <c r="E108" s="16">
        <v>1811.25249</v>
      </c>
      <c r="F108" s="17">
        <f t="shared" si="3"/>
        <v>0</v>
      </c>
      <c r="G108" s="16">
        <v>446.46124</v>
      </c>
      <c r="H108" s="16">
        <v>1388.47108</v>
      </c>
      <c r="I108" s="24">
        <v>0.321548821888318</v>
      </c>
      <c r="J108" s="25">
        <v>649.31501</v>
      </c>
      <c r="K108" s="24">
        <v>0.467647486039104</v>
      </c>
      <c r="L108" s="16">
        <v>98.17472</v>
      </c>
      <c r="M108" s="24">
        <v>0.0707070686700943</v>
      </c>
      <c r="N108" s="26">
        <v>5259</v>
      </c>
      <c r="O108" s="27" t="s">
        <v>75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2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4</v>
      </c>
      <c r="AF108" s="1">
        <v>26422</v>
      </c>
      <c r="AG108" s="33">
        <f t="shared" si="4"/>
        <v>0.000151388994020135</v>
      </c>
      <c r="AH108" s="1">
        <v>5</v>
      </c>
      <c r="AI108" s="1">
        <v>132</v>
      </c>
      <c r="AJ108" s="1">
        <v>27</v>
      </c>
    </row>
    <row r="109" s="2" customFormat="1" spans="1:36">
      <c r="A109" s="2" t="str">
        <f>VLOOKUP(B109,'[1]2. ISIC行业分类'!$A$2:$B$102,2,FALSE)</f>
        <v>C2822</v>
      </c>
      <c r="B109" s="14" t="s">
        <v>74</v>
      </c>
      <c r="C109" s="15" t="s">
        <v>43</v>
      </c>
      <c r="D109" s="16">
        <v>0</v>
      </c>
      <c r="E109" s="16">
        <v>1624.38435</v>
      </c>
      <c r="F109" s="17">
        <f t="shared" si="3"/>
        <v>0</v>
      </c>
      <c r="G109" s="16">
        <v>398.45533</v>
      </c>
      <c r="H109" s="16">
        <v>1307.18954</v>
      </c>
      <c r="I109" s="24">
        <v>0.304818328029155</v>
      </c>
      <c r="J109" s="25">
        <v>645.7475</v>
      </c>
      <c r="K109" s="24">
        <v>0.493996838438594</v>
      </c>
      <c r="L109" s="16">
        <v>129.89293</v>
      </c>
      <c r="M109" s="24">
        <v>0.0993680916387994</v>
      </c>
      <c r="N109" s="26">
        <v>5026</v>
      </c>
      <c r="O109" s="27" t="s">
        <v>75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1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2</v>
      </c>
      <c r="AF109" s="1">
        <v>26324</v>
      </c>
      <c r="AG109" s="33">
        <f t="shared" si="4"/>
        <v>7.59762953958365e-5</v>
      </c>
      <c r="AH109" s="1">
        <v>13</v>
      </c>
      <c r="AI109" s="1">
        <v>218</v>
      </c>
      <c r="AJ109" s="1">
        <v>52</v>
      </c>
    </row>
    <row r="110" s="2" customFormat="1" spans="1:36">
      <c r="A110" s="2" t="str">
        <f>VLOOKUP(B110,'[1]2. ISIC行业分类'!$A$2:$B$102,2,FALSE)</f>
        <v>C2822</v>
      </c>
      <c r="B110" s="14" t="s">
        <v>74</v>
      </c>
      <c r="C110" s="15" t="s">
        <v>44</v>
      </c>
      <c r="D110" s="16">
        <v>0</v>
      </c>
      <c r="E110" s="16">
        <v>905.67957</v>
      </c>
      <c r="F110" s="17">
        <f t="shared" si="3"/>
        <v>0</v>
      </c>
      <c r="G110" s="16">
        <v>400.79118</v>
      </c>
      <c r="H110" s="16">
        <v>1300.48036</v>
      </c>
      <c r="I110" s="24">
        <v>0.308187030213974</v>
      </c>
      <c r="J110" s="25">
        <v>273.29754</v>
      </c>
      <c r="K110" s="24">
        <v>0.210151224429103</v>
      </c>
      <c r="L110" s="16">
        <v>73.46708</v>
      </c>
      <c r="M110" s="24">
        <v>0.0564922641353846</v>
      </c>
      <c r="N110" s="26">
        <v>4891</v>
      </c>
      <c r="O110" s="27" t="s">
        <v>75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1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2</v>
      </c>
      <c r="AF110" s="1">
        <v>27983</v>
      </c>
      <c r="AG110" s="33">
        <f t="shared" si="4"/>
        <v>7.1471965121681e-5</v>
      </c>
      <c r="AH110" s="1">
        <v>13</v>
      </c>
      <c r="AI110" s="1">
        <v>402</v>
      </c>
      <c r="AJ110" s="1">
        <v>45</v>
      </c>
    </row>
    <row r="111" s="2" customFormat="1" spans="1:36">
      <c r="A111" s="2" t="str">
        <f>VLOOKUP(B111,'[1]2. ISIC行业分类'!$A$2:$B$102,2,FALSE)</f>
        <v>C2822</v>
      </c>
      <c r="B111" s="14" t="s">
        <v>74</v>
      </c>
      <c r="C111" s="15" t="s">
        <v>45</v>
      </c>
      <c r="D111" s="16">
        <v>0</v>
      </c>
      <c r="E111" s="16">
        <v>1030.37483</v>
      </c>
      <c r="F111" s="17">
        <f t="shared" si="3"/>
        <v>0</v>
      </c>
      <c r="G111" s="16">
        <v>460.28455</v>
      </c>
      <c r="H111" s="16">
        <v>1354.52661</v>
      </c>
      <c r="I111" s="24">
        <v>0.339812113399529</v>
      </c>
      <c r="J111" s="25">
        <v>279.39579</v>
      </c>
      <c r="K111" s="24">
        <v>0.206268217942208</v>
      </c>
      <c r="L111" s="16">
        <v>-31.37307</v>
      </c>
      <c r="M111" s="24">
        <v>-0.0231616490723648</v>
      </c>
      <c r="N111" s="26">
        <v>3543</v>
      </c>
      <c r="O111" s="27" t="s">
        <v>75</v>
      </c>
      <c r="P111" s="1">
        <v>1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1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6</v>
      </c>
      <c r="AF111" s="1">
        <v>30748</v>
      </c>
      <c r="AG111" s="33">
        <f t="shared" si="4"/>
        <v>0.000195134642903603</v>
      </c>
      <c r="AH111" s="1">
        <v>12</v>
      </c>
      <c r="AI111" s="1">
        <v>228</v>
      </c>
      <c r="AJ111" s="1">
        <v>25</v>
      </c>
    </row>
    <row r="112" s="2" customFormat="1" spans="1:36">
      <c r="A112" s="2" t="str">
        <f>VLOOKUP(B112,'[1]2. ISIC行业分类'!$A$2:$B$102,2,FALSE)</f>
        <v>C2822</v>
      </c>
      <c r="B112" s="14" t="s">
        <v>74</v>
      </c>
      <c r="C112" s="15" t="s">
        <v>48</v>
      </c>
      <c r="D112" s="16">
        <v>0</v>
      </c>
      <c r="E112" s="16">
        <v>1098.66223</v>
      </c>
      <c r="F112" s="17">
        <f t="shared" si="3"/>
        <v>0</v>
      </c>
      <c r="G112" s="16">
        <v>452.37761</v>
      </c>
      <c r="H112" s="16">
        <v>1235.57594</v>
      </c>
      <c r="I112" s="24">
        <v>0.366126917298179</v>
      </c>
      <c r="J112" s="25">
        <v>284.96653</v>
      </c>
      <c r="K112" s="24">
        <v>0.230634573541469</v>
      </c>
      <c r="L112" s="16">
        <v>39.58169</v>
      </c>
      <c r="M112" s="24">
        <v>0.0320350119475457</v>
      </c>
      <c r="N112" s="26">
        <v>3609</v>
      </c>
      <c r="O112" s="27" t="s">
        <v>75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1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4</v>
      </c>
      <c r="AF112" s="1">
        <v>29868</v>
      </c>
      <c r="AG112" s="33">
        <f t="shared" si="4"/>
        <v>0.000133922592741395</v>
      </c>
      <c r="AH112" s="1">
        <v>1</v>
      </c>
      <c r="AI112" s="1">
        <v>10</v>
      </c>
      <c r="AJ112" s="1">
        <v>1</v>
      </c>
    </row>
    <row r="113" s="2" customFormat="1" spans="1:36">
      <c r="A113" s="2" t="str">
        <f>VLOOKUP(B113,'[1]2. ISIC行业分类'!$A$2:$B$102,2,FALSE)</f>
        <v>C2824</v>
      </c>
      <c r="B113" s="14" t="s">
        <v>76</v>
      </c>
      <c r="C113" s="15" t="s">
        <v>37</v>
      </c>
      <c r="D113" s="16">
        <v>2380</v>
      </c>
      <c r="E113" s="16">
        <v>55184</v>
      </c>
      <c r="F113" s="17">
        <f t="shared" si="3"/>
        <v>0.0431284430269643</v>
      </c>
      <c r="G113" s="16">
        <v>67855</v>
      </c>
      <c r="H113" s="16">
        <v>84681</v>
      </c>
      <c r="I113" s="24">
        <v>0.801301354495105</v>
      </c>
      <c r="J113" s="25">
        <v>0</v>
      </c>
      <c r="K113" s="24">
        <v>0</v>
      </c>
      <c r="L113" s="16">
        <v>2452</v>
      </c>
      <c r="M113" s="24">
        <v>0.0289557279673126</v>
      </c>
      <c r="N113" s="26">
        <v>114233</v>
      </c>
      <c r="O113" s="27" t="s">
        <v>77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17336</v>
      </c>
      <c r="AG113" s="33">
        <f t="shared" si="4"/>
        <v>0</v>
      </c>
      <c r="AH113" s="1">
        <v>41</v>
      </c>
      <c r="AI113" s="1">
        <v>1352</v>
      </c>
      <c r="AJ113" s="1">
        <v>590</v>
      </c>
    </row>
    <row r="114" s="2" customFormat="1" spans="1:36">
      <c r="A114" s="2" t="str">
        <f>VLOOKUP(B114,'[1]2. ISIC行业分类'!$A$2:$B$102,2,FALSE)</f>
        <v>C2824</v>
      </c>
      <c r="B114" s="14" t="s">
        <v>76</v>
      </c>
      <c r="C114" s="15" t="s">
        <v>39</v>
      </c>
      <c r="D114" s="16">
        <v>2119</v>
      </c>
      <c r="E114" s="16">
        <v>47011</v>
      </c>
      <c r="F114" s="17">
        <f t="shared" si="3"/>
        <v>0.0450745570185701</v>
      </c>
      <c r="G114" s="16">
        <v>63457</v>
      </c>
      <c r="H114" s="16">
        <v>78342</v>
      </c>
      <c r="I114" s="24">
        <v>0.809999744709096</v>
      </c>
      <c r="J114" s="25">
        <v>0</v>
      </c>
      <c r="K114" s="24">
        <v>0</v>
      </c>
      <c r="L114" s="16">
        <v>2512</v>
      </c>
      <c r="M114" s="24">
        <v>0.0320645375405274</v>
      </c>
      <c r="N114" s="26">
        <v>105700</v>
      </c>
      <c r="O114" s="27" t="s">
        <v>77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14043</v>
      </c>
      <c r="AG114" s="33">
        <f t="shared" si="4"/>
        <v>0</v>
      </c>
      <c r="AH114" s="1">
        <v>41</v>
      </c>
      <c r="AI114" s="1">
        <v>1031</v>
      </c>
      <c r="AJ114" s="1">
        <v>386</v>
      </c>
    </row>
    <row r="115" s="2" customFormat="1" spans="1:36">
      <c r="A115" s="2" t="str">
        <f>VLOOKUP(B115,'[1]2. ISIC行业分类'!$A$2:$B$102,2,FALSE)</f>
        <v>C2824</v>
      </c>
      <c r="B115" s="14" t="s">
        <v>76</v>
      </c>
      <c r="C115" s="15" t="s">
        <v>40</v>
      </c>
      <c r="D115" s="16">
        <v>1853</v>
      </c>
      <c r="E115" s="16">
        <v>38537</v>
      </c>
      <c r="F115" s="17">
        <f t="shared" si="3"/>
        <v>0.0480836598593559</v>
      </c>
      <c r="G115" s="16">
        <v>61491</v>
      </c>
      <c r="H115" s="16">
        <v>74704</v>
      </c>
      <c r="I115" s="24">
        <v>0.823128614264296</v>
      </c>
      <c r="J115" s="25">
        <v>0</v>
      </c>
      <c r="K115" s="24">
        <v>0</v>
      </c>
      <c r="L115" s="16">
        <v>-67</v>
      </c>
      <c r="M115" s="24">
        <v>-0.000896872992075391</v>
      </c>
      <c r="N115" s="26">
        <v>95400</v>
      </c>
      <c r="O115" s="27" t="s">
        <v>77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26743</v>
      </c>
      <c r="AG115" s="33">
        <f t="shared" si="4"/>
        <v>0</v>
      </c>
      <c r="AH115" s="1">
        <v>49</v>
      </c>
      <c r="AI115" s="1">
        <v>1007</v>
      </c>
      <c r="AJ115" s="1">
        <v>286</v>
      </c>
    </row>
    <row r="116" s="2" customFormat="1" spans="1:36">
      <c r="A116" s="2" t="str">
        <f>VLOOKUP(B116,'[1]2. ISIC行业分类'!$A$2:$B$102,2,FALSE)</f>
        <v>C2824</v>
      </c>
      <c r="B116" s="14" t="s">
        <v>76</v>
      </c>
      <c r="C116" s="15" t="s">
        <v>41</v>
      </c>
      <c r="D116" s="16">
        <v>1842</v>
      </c>
      <c r="E116" s="16">
        <v>45462</v>
      </c>
      <c r="F116" s="17">
        <f t="shared" si="3"/>
        <v>0.0405173551537548</v>
      </c>
      <c r="G116" s="16">
        <v>63196</v>
      </c>
      <c r="H116" s="16">
        <v>76962</v>
      </c>
      <c r="I116" s="24">
        <v>0.821132506951483</v>
      </c>
      <c r="J116" s="25">
        <v>0</v>
      </c>
      <c r="K116" s="24">
        <v>0</v>
      </c>
      <c r="L116" s="16">
        <v>754</v>
      </c>
      <c r="M116" s="24">
        <v>0.00979704269639562</v>
      </c>
      <c r="N116" s="26">
        <v>98400</v>
      </c>
      <c r="O116" s="27" t="s">
        <v>77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27812</v>
      </c>
      <c r="AG116" s="33">
        <f t="shared" si="4"/>
        <v>0</v>
      </c>
      <c r="AH116" s="1">
        <v>48</v>
      </c>
      <c r="AI116" s="1">
        <v>1038</v>
      </c>
      <c r="AJ116" s="1">
        <v>264</v>
      </c>
    </row>
    <row r="117" s="2" customFormat="1" spans="1:36">
      <c r="A117" s="2" t="str">
        <f>VLOOKUP(B117,'[1]2. ISIC行业分类'!$A$2:$B$102,2,FALSE)</f>
        <v>C2824</v>
      </c>
      <c r="B117" s="14" t="s">
        <v>76</v>
      </c>
      <c r="C117" s="15" t="s">
        <v>42</v>
      </c>
      <c r="D117" s="16">
        <v>1850</v>
      </c>
      <c r="E117" s="16">
        <v>54722</v>
      </c>
      <c r="F117" s="17">
        <f t="shared" si="3"/>
        <v>0.0338072438872848</v>
      </c>
      <c r="G117" s="16">
        <v>64429</v>
      </c>
      <c r="H117" s="16">
        <v>78509</v>
      </c>
      <c r="I117" s="24">
        <v>0.820657504235183</v>
      </c>
      <c r="J117" s="25">
        <v>0</v>
      </c>
      <c r="K117" s="24">
        <v>0</v>
      </c>
      <c r="L117" s="16">
        <v>6147</v>
      </c>
      <c r="M117" s="24">
        <v>0.0782967557859608</v>
      </c>
      <c r="N117" s="26">
        <v>104000</v>
      </c>
      <c r="O117" s="27" t="s">
        <v>77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28579</v>
      </c>
      <c r="AG117" s="33">
        <f t="shared" si="4"/>
        <v>0</v>
      </c>
      <c r="AH117" s="1">
        <v>22</v>
      </c>
      <c r="AI117" s="1">
        <v>496</v>
      </c>
      <c r="AJ117" s="1">
        <v>85</v>
      </c>
    </row>
    <row r="118" s="2" customFormat="1" spans="1:36">
      <c r="A118" s="2" t="str">
        <f>VLOOKUP(B118,'[1]2. ISIC行业分类'!$A$2:$B$102,2,FALSE)</f>
        <v>C2824</v>
      </c>
      <c r="B118" s="14" t="s">
        <v>76</v>
      </c>
      <c r="C118" s="15" t="s">
        <v>43</v>
      </c>
      <c r="D118" s="16">
        <v>1693</v>
      </c>
      <c r="E118" s="16">
        <v>53800</v>
      </c>
      <c r="F118" s="17">
        <f t="shared" si="3"/>
        <v>0.0314684014869888</v>
      </c>
      <c r="G118" s="16">
        <v>63824</v>
      </c>
      <c r="H118" s="16">
        <v>78453</v>
      </c>
      <c r="I118" s="24">
        <v>0.813531668642372</v>
      </c>
      <c r="J118" s="25">
        <v>0</v>
      </c>
      <c r="K118" s="24">
        <v>0</v>
      </c>
      <c r="L118" s="16">
        <v>6093</v>
      </c>
      <c r="M118" s="24">
        <v>0.077664334059883</v>
      </c>
      <c r="N118" s="26">
        <v>102300</v>
      </c>
      <c r="O118" s="27" t="s">
        <v>77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33211</v>
      </c>
      <c r="AG118" s="33">
        <f t="shared" si="4"/>
        <v>0</v>
      </c>
      <c r="AH118" s="1">
        <v>38</v>
      </c>
      <c r="AI118" s="1">
        <v>970</v>
      </c>
      <c r="AJ118" s="1">
        <v>104</v>
      </c>
    </row>
    <row r="119" s="2" customFormat="1" spans="1:36">
      <c r="A119" s="2" t="str">
        <f>VLOOKUP(B119,'[1]2. ISIC行业分类'!$A$2:$B$102,2,FALSE)</f>
        <v>C2824</v>
      </c>
      <c r="B119" s="14" t="s">
        <v>76</v>
      </c>
      <c r="C119" s="15" t="s">
        <v>44</v>
      </c>
      <c r="D119" s="16">
        <v>1415</v>
      </c>
      <c r="E119" s="16">
        <v>41748</v>
      </c>
      <c r="F119" s="17">
        <f t="shared" si="3"/>
        <v>0.0338938392258312</v>
      </c>
      <c r="G119" s="16">
        <v>62946</v>
      </c>
      <c r="H119" s="16">
        <v>78324</v>
      </c>
      <c r="I119" s="24">
        <v>0.803661712884939</v>
      </c>
      <c r="J119" s="25">
        <v>0</v>
      </c>
      <c r="K119" s="24">
        <v>0</v>
      </c>
      <c r="L119" s="16">
        <v>2998</v>
      </c>
      <c r="M119" s="24">
        <v>0.0382769010775752</v>
      </c>
      <c r="N119" s="26">
        <v>97300</v>
      </c>
      <c r="O119" s="27" t="s">
        <v>77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26769</v>
      </c>
      <c r="AG119" s="33">
        <f t="shared" si="4"/>
        <v>0</v>
      </c>
      <c r="AH119" s="1">
        <v>22</v>
      </c>
      <c r="AI119" s="1">
        <v>443</v>
      </c>
      <c r="AJ119" s="1">
        <v>63</v>
      </c>
    </row>
    <row r="120" s="2" customFormat="1" spans="1:36">
      <c r="A120" s="2" t="str">
        <f>VLOOKUP(B120,'[1]2. ISIC行业分类'!$A$2:$B$102,2,FALSE)</f>
        <v>C2824</v>
      </c>
      <c r="B120" s="14" t="s">
        <v>76</v>
      </c>
      <c r="C120" s="15" t="s">
        <v>45</v>
      </c>
      <c r="D120" s="16">
        <v>1686</v>
      </c>
      <c r="E120" s="16">
        <v>50971</v>
      </c>
      <c r="F120" s="17">
        <f t="shared" si="3"/>
        <v>0.033077632379196</v>
      </c>
      <c r="G120" s="16">
        <v>66277</v>
      </c>
      <c r="H120" s="16">
        <v>82793</v>
      </c>
      <c r="I120" s="24">
        <v>0.800514536253065</v>
      </c>
      <c r="J120" s="25">
        <v>0</v>
      </c>
      <c r="K120" s="24">
        <v>0</v>
      </c>
      <c r="L120" s="16">
        <v>6489</v>
      </c>
      <c r="M120" s="24">
        <v>0.0783761912238957</v>
      </c>
      <c r="N120" s="26">
        <v>107700</v>
      </c>
      <c r="O120" s="27" t="s">
        <v>77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25930</v>
      </c>
      <c r="AG120" s="33">
        <f t="shared" si="4"/>
        <v>0</v>
      </c>
      <c r="AH120" s="1">
        <v>16</v>
      </c>
      <c r="AI120" s="1">
        <v>306</v>
      </c>
      <c r="AJ120" s="1">
        <v>21</v>
      </c>
    </row>
    <row r="121" s="2" customFormat="1" spans="1:36">
      <c r="A121" s="2" t="str">
        <f>VLOOKUP(B121,'[1]2. ISIC行业分类'!$A$2:$B$102,2,FALSE)</f>
        <v>C2824</v>
      </c>
      <c r="B121" s="14" t="s">
        <v>76</v>
      </c>
      <c r="C121" s="15" t="s">
        <v>48</v>
      </c>
      <c r="D121" s="16">
        <v>1814</v>
      </c>
      <c r="E121" s="16">
        <v>59427</v>
      </c>
      <c r="F121" s="17">
        <f t="shared" si="3"/>
        <v>0.0305248456088983</v>
      </c>
      <c r="G121" s="16">
        <v>66052</v>
      </c>
      <c r="H121" s="16">
        <v>81943</v>
      </c>
      <c r="I121" s="24">
        <v>0.806072513820583</v>
      </c>
      <c r="J121" s="25">
        <v>0</v>
      </c>
      <c r="K121" s="24">
        <v>0</v>
      </c>
      <c r="L121" s="16">
        <v>6705</v>
      </c>
      <c r="M121" s="24">
        <v>0.0818251711555594</v>
      </c>
      <c r="N121" s="26">
        <v>109100</v>
      </c>
      <c r="O121" s="27" t="s">
        <v>77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28206</v>
      </c>
      <c r="AG121" s="33">
        <f t="shared" si="4"/>
        <v>0</v>
      </c>
      <c r="AH121" s="1">
        <v>2</v>
      </c>
      <c r="AI121" s="1">
        <v>20</v>
      </c>
      <c r="AJ121" s="1">
        <v>1</v>
      </c>
    </row>
    <row r="122" s="2" customFormat="1" spans="1:36">
      <c r="A122" s="2" t="str">
        <f>VLOOKUP(B122,'[1]2. ISIC行业分类'!$A$2:$B$102,2,FALSE)</f>
        <v>C2011</v>
      </c>
      <c r="B122" s="14" t="s">
        <v>78</v>
      </c>
      <c r="C122" s="15" t="s">
        <v>37</v>
      </c>
      <c r="D122" s="16">
        <v>214.42377</v>
      </c>
      <c r="E122" s="16">
        <v>6156.88169</v>
      </c>
      <c r="F122" s="17">
        <f t="shared" si="3"/>
        <v>0.0348266835057537</v>
      </c>
      <c r="G122" s="16">
        <v>5216.63848</v>
      </c>
      <c r="H122" s="16">
        <v>7967.9069</v>
      </c>
      <c r="I122" s="24">
        <v>0.654706254160675</v>
      </c>
      <c r="J122" s="25">
        <v>5962.59161</v>
      </c>
      <c r="K122" s="24">
        <v>0.748325963748397</v>
      </c>
      <c r="L122" s="16">
        <v>153.01603</v>
      </c>
      <c r="M122" s="24">
        <v>0.019204043410698</v>
      </c>
      <c r="N122" s="26">
        <v>17003</v>
      </c>
      <c r="O122" s="27" t="s">
        <v>79</v>
      </c>
      <c r="AH122" s="1">
        <v>21</v>
      </c>
      <c r="AI122" s="1">
        <v>527</v>
      </c>
      <c r="AJ122" s="1">
        <v>233</v>
      </c>
    </row>
    <row r="123" s="2" customFormat="1" spans="1:36">
      <c r="A123" s="2" t="str">
        <f>VLOOKUP(B123,'[1]2. ISIC行业分类'!$A$2:$B$102,2,FALSE)</f>
        <v>C2011</v>
      </c>
      <c r="B123" s="14" t="s">
        <v>78</v>
      </c>
      <c r="C123" s="15" t="s">
        <v>39</v>
      </c>
      <c r="D123" s="16">
        <v>203.75346</v>
      </c>
      <c r="E123" s="16">
        <v>5799.98202</v>
      </c>
      <c r="F123" s="17">
        <f t="shared" si="3"/>
        <v>0.0351300157996007</v>
      </c>
      <c r="G123" s="16">
        <v>4960.99719</v>
      </c>
      <c r="H123" s="16">
        <v>7451.9831</v>
      </c>
      <c r="I123" s="24">
        <v>0.665728454215093</v>
      </c>
      <c r="J123" s="25">
        <v>5563.26844</v>
      </c>
      <c r="K123" s="24">
        <v>0.746548719360354</v>
      </c>
      <c r="L123" s="16">
        <v>228.72325</v>
      </c>
      <c r="M123" s="24">
        <v>0.03069293729343</v>
      </c>
      <c r="N123" s="26">
        <v>17047</v>
      </c>
      <c r="O123" s="27" t="s">
        <v>79</v>
      </c>
      <c r="P123" s="1">
        <v>0</v>
      </c>
      <c r="Q123" s="1">
        <v>0</v>
      </c>
      <c r="R123" s="1">
        <v>0</v>
      </c>
      <c r="S123" s="1">
        <v>0</v>
      </c>
      <c r="T123" s="1">
        <v>1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2</v>
      </c>
      <c r="AF123" s="1">
        <v>53991</v>
      </c>
      <c r="AG123" s="33">
        <f t="shared" ref="AG123:AG134" si="5">AE123/AF123</f>
        <v>3.70432109055213e-5</v>
      </c>
      <c r="AH123" s="1">
        <v>35</v>
      </c>
      <c r="AI123" s="1">
        <v>1090</v>
      </c>
      <c r="AJ123" s="1">
        <v>365</v>
      </c>
    </row>
    <row r="124" s="2" customFormat="1" spans="1:36">
      <c r="A124" s="2" t="str">
        <f>VLOOKUP(B124,'[1]2. ISIC行业分类'!$A$2:$B$102,2,FALSE)</f>
        <v>C2011</v>
      </c>
      <c r="B124" s="14" t="s">
        <v>78</v>
      </c>
      <c r="C124" s="15" t="s">
        <v>40</v>
      </c>
      <c r="D124" s="16">
        <v>195.90856</v>
      </c>
      <c r="E124" s="16">
        <v>5756.16767</v>
      </c>
      <c r="F124" s="17">
        <f t="shared" si="3"/>
        <v>0.034034547155573</v>
      </c>
      <c r="G124" s="16">
        <v>5728.60265</v>
      </c>
      <c r="H124" s="16">
        <v>8235.0509</v>
      </c>
      <c r="I124" s="24">
        <v>0.695636580704073</v>
      </c>
      <c r="J124" s="25">
        <v>5668.55028</v>
      </c>
      <c r="K124" s="24">
        <v>0.688344291836739</v>
      </c>
      <c r="L124" s="16">
        <v>249.06968</v>
      </c>
      <c r="M124" s="24">
        <v>0.0302450686734675</v>
      </c>
      <c r="N124" s="26">
        <v>17442</v>
      </c>
      <c r="O124" s="27" t="s">
        <v>79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61080</v>
      </c>
      <c r="AG124" s="33">
        <f t="shared" si="5"/>
        <v>0</v>
      </c>
      <c r="AH124" s="1">
        <v>15</v>
      </c>
      <c r="AI124" s="1">
        <v>274</v>
      </c>
      <c r="AJ124" s="1">
        <v>87</v>
      </c>
    </row>
    <row r="125" s="2" customFormat="1" spans="1:36">
      <c r="A125" s="2" t="str">
        <f>VLOOKUP(B125,'[1]2. ISIC行业分类'!$A$2:$B$102,2,FALSE)</f>
        <v>C2011</v>
      </c>
      <c r="B125" s="14" t="s">
        <v>78</v>
      </c>
      <c r="C125" s="15" t="s">
        <v>41</v>
      </c>
      <c r="D125" s="16">
        <v>208.29913</v>
      </c>
      <c r="E125" s="16">
        <v>6543.46577</v>
      </c>
      <c r="F125" s="17">
        <f t="shared" si="3"/>
        <v>0.0318331504009686</v>
      </c>
      <c r="G125" s="16">
        <v>5428.09063</v>
      </c>
      <c r="H125" s="16">
        <v>8443.81054</v>
      </c>
      <c r="I125" s="24">
        <v>0.642848463295814</v>
      </c>
      <c r="J125" s="25">
        <v>6310.54014</v>
      </c>
      <c r="K125" s="24">
        <v>0.747356908365687</v>
      </c>
      <c r="L125" s="16">
        <v>284.23083</v>
      </c>
      <c r="M125" s="24">
        <v>0.033661440963596</v>
      </c>
      <c r="N125" s="26">
        <v>18135</v>
      </c>
      <c r="O125" s="27" t="s">
        <v>79</v>
      </c>
      <c r="P125" s="1">
        <v>0</v>
      </c>
      <c r="Q125" s="1">
        <v>0</v>
      </c>
      <c r="R125" s="1">
        <v>0</v>
      </c>
      <c r="S125" s="1">
        <v>0</v>
      </c>
      <c r="T125" s="1">
        <v>3</v>
      </c>
      <c r="U125" s="1">
        <v>2</v>
      </c>
      <c r="V125" s="1">
        <v>1</v>
      </c>
      <c r="W125" s="1">
        <v>1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16</v>
      </c>
      <c r="AF125" s="1">
        <v>41036</v>
      </c>
      <c r="AG125" s="33">
        <f t="shared" si="5"/>
        <v>0.000389901549858661</v>
      </c>
      <c r="AH125" s="1">
        <v>25</v>
      </c>
      <c r="AI125" s="1">
        <v>1279</v>
      </c>
      <c r="AJ125" s="1">
        <v>198</v>
      </c>
    </row>
    <row r="126" s="2" customFormat="1" spans="1:36">
      <c r="A126" s="2" t="str">
        <f>VLOOKUP(B126,'[1]2. ISIC行业分类'!$A$2:$B$102,2,FALSE)</f>
        <v>C2011</v>
      </c>
      <c r="B126" s="14" t="s">
        <v>78</v>
      </c>
      <c r="C126" s="15" t="s">
        <v>42</v>
      </c>
      <c r="D126" s="16">
        <v>176.83646</v>
      </c>
      <c r="E126" s="16">
        <v>4475.7917</v>
      </c>
      <c r="F126" s="17">
        <f t="shared" si="3"/>
        <v>0.0395095374970198</v>
      </c>
      <c r="G126" s="16">
        <v>5092.6867</v>
      </c>
      <c r="H126" s="16">
        <v>8111.10208</v>
      </c>
      <c r="I126" s="24">
        <v>0.627866182643333</v>
      </c>
      <c r="J126" s="25">
        <v>5527.66373</v>
      </c>
      <c r="K126" s="24">
        <v>0.681493547421857</v>
      </c>
      <c r="L126" s="16">
        <v>342.4936</v>
      </c>
      <c r="M126" s="24">
        <v>0.0422252853708383</v>
      </c>
      <c r="N126" s="26">
        <v>17901</v>
      </c>
      <c r="O126" s="27" t="s">
        <v>79</v>
      </c>
      <c r="P126" s="1">
        <v>2</v>
      </c>
      <c r="Q126" s="1">
        <v>0</v>
      </c>
      <c r="R126" s="1">
        <v>0</v>
      </c>
      <c r="S126" s="1">
        <v>0</v>
      </c>
      <c r="T126" s="1">
        <v>7</v>
      </c>
      <c r="U126" s="1">
        <v>2</v>
      </c>
      <c r="V126" s="1">
        <v>3</v>
      </c>
      <c r="W126" s="1">
        <v>1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36</v>
      </c>
      <c r="AF126" s="1">
        <v>42050</v>
      </c>
      <c r="AG126" s="33">
        <f t="shared" si="5"/>
        <v>0.000856123662306778</v>
      </c>
      <c r="AH126" s="1">
        <v>16</v>
      </c>
      <c r="AI126" s="1">
        <v>427</v>
      </c>
      <c r="AJ126" s="1">
        <v>58</v>
      </c>
    </row>
    <row r="127" s="2" customFormat="1" spans="1:36">
      <c r="A127" s="2" t="str">
        <f>VLOOKUP(B127,'[1]2. ISIC行业分类'!$A$2:$B$102,2,FALSE)</f>
        <v>C2011</v>
      </c>
      <c r="B127" s="14" t="s">
        <v>78</v>
      </c>
      <c r="C127" s="15" t="s">
        <v>43</v>
      </c>
      <c r="D127" s="16">
        <v>180.69366</v>
      </c>
      <c r="E127" s="16">
        <v>4542.12227</v>
      </c>
      <c r="F127" s="17">
        <f t="shared" si="3"/>
        <v>0.0397817692388981</v>
      </c>
      <c r="G127" s="16">
        <v>5474.50155</v>
      </c>
      <c r="H127" s="16">
        <v>8238.59823</v>
      </c>
      <c r="I127" s="24">
        <v>0.664494298321913</v>
      </c>
      <c r="J127" s="25">
        <v>4349.0382</v>
      </c>
      <c r="K127" s="24">
        <v>0.527885700769268</v>
      </c>
      <c r="L127" s="16">
        <v>10.32535</v>
      </c>
      <c r="M127" s="24">
        <v>0.00125328966308872</v>
      </c>
      <c r="N127" s="26">
        <v>11941</v>
      </c>
      <c r="O127" s="27" t="s">
        <v>79</v>
      </c>
      <c r="P127" s="1">
        <v>5</v>
      </c>
      <c r="Q127" s="1">
        <v>2</v>
      </c>
      <c r="R127" s="1">
        <v>0</v>
      </c>
      <c r="S127" s="1">
        <v>3</v>
      </c>
      <c r="T127" s="1">
        <v>6</v>
      </c>
      <c r="U127" s="1">
        <v>2</v>
      </c>
      <c r="V127" s="1">
        <v>4</v>
      </c>
      <c r="W127" s="1">
        <v>1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47</v>
      </c>
      <c r="AF127" s="1">
        <v>48676</v>
      </c>
      <c r="AG127" s="33">
        <f t="shared" si="5"/>
        <v>0.000965568247185471</v>
      </c>
      <c r="AH127" s="1">
        <v>11</v>
      </c>
      <c r="AI127" s="1">
        <v>156</v>
      </c>
      <c r="AJ127" s="1">
        <v>20</v>
      </c>
    </row>
    <row r="128" s="2" customFormat="1" spans="1:36">
      <c r="A128" s="2" t="str">
        <f>VLOOKUP(B128,'[1]2. ISIC行业分类'!$A$2:$B$102,2,FALSE)</f>
        <v>C2011</v>
      </c>
      <c r="B128" s="14" t="s">
        <v>78</v>
      </c>
      <c r="C128" s="15" t="s">
        <v>44</v>
      </c>
      <c r="D128" s="16">
        <v>179.71178</v>
      </c>
      <c r="E128" s="16">
        <v>4362.81435</v>
      </c>
      <c r="F128" s="17">
        <f t="shared" si="3"/>
        <v>0.041191709200278</v>
      </c>
      <c r="G128" s="16">
        <v>5104.26674</v>
      </c>
      <c r="H128" s="16">
        <v>7834.98163</v>
      </c>
      <c r="I128" s="24">
        <v>0.651471436825819</v>
      </c>
      <c r="J128" s="25">
        <v>4438.54196</v>
      </c>
      <c r="K128" s="24">
        <v>0.566503173792381</v>
      </c>
      <c r="L128" s="16">
        <v>886.12602</v>
      </c>
      <c r="M128" s="24">
        <v>0.113098672319414</v>
      </c>
      <c r="N128" s="26">
        <v>11342</v>
      </c>
      <c r="O128" s="27" t="s">
        <v>79</v>
      </c>
      <c r="P128" s="1">
        <v>4</v>
      </c>
      <c r="Q128" s="1">
        <v>5</v>
      </c>
      <c r="R128" s="1">
        <v>0</v>
      </c>
      <c r="S128" s="1">
        <v>0</v>
      </c>
      <c r="T128" s="1">
        <v>3</v>
      </c>
      <c r="U128" s="1">
        <v>16</v>
      </c>
      <c r="V128" s="1">
        <v>4</v>
      </c>
      <c r="W128" s="1">
        <v>3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1</v>
      </c>
      <c r="AD128" s="1">
        <v>0</v>
      </c>
      <c r="AE128" s="1">
        <v>76</v>
      </c>
      <c r="AF128" s="1">
        <v>37858</v>
      </c>
      <c r="AG128" s="33">
        <f t="shared" si="5"/>
        <v>0.00200750171694226</v>
      </c>
      <c r="AH128" s="1">
        <v>12</v>
      </c>
      <c r="AI128" s="1">
        <v>173</v>
      </c>
      <c r="AJ128" s="1">
        <v>17</v>
      </c>
    </row>
    <row r="129" s="2" customFormat="1" spans="1:36">
      <c r="A129" s="2" t="str">
        <f>VLOOKUP(B129,'[1]2. ISIC行业分类'!$A$2:$B$102,2,FALSE)</f>
        <v>C2011</v>
      </c>
      <c r="B129" s="14" t="s">
        <v>78</v>
      </c>
      <c r="C129" s="15" t="s">
        <v>45</v>
      </c>
      <c r="D129" s="16">
        <v>171.12581</v>
      </c>
      <c r="E129" s="16">
        <v>4795.91053</v>
      </c>
      <c r="F129" s="17">
        <f t="shared" si="3"/>
        <v>0.0356816101821649</v>
      </c>
      <c r="G129" s="16">
        <v>4929.73969</v>
      </c>
      <c r="H129" s="16">
        <v>7720.40675</v>
      </c>
      <c r="I129" s="24">
        <v>0.638533674407764</v>
      </c>
      <c r="J129" s="25">
        <v>4675.2449</v>
      </c>
      <c r="K129" s="24">
        <v>0.605569764831367</v>
      </c>
      <c r="L129" s="16">
        <v>377.35435</v>
      </c>
      <c r="M129" s="24">
        <v>0.0488775218999958</v>
      </c>
      <c r="N129" s="26">
        <v>11537</v>
      </c>
      <c r="O129" s="27" t="s">
        <v>79</v>
      </c>
      <c r="P129" s="1">
        <v>1</v>
      </c>
      <c r="Q129" s="1">
        <v>1</v>
      </c>
      <c r="R129" s="1">
        <v>0</v>
      </c>
      <c r="S129" s="1">
        <v>0</v>
      </c>
      <c r="T129" s="1">
        <v>1</v>
      </c>
      <c r="U129" s="1">
        <v>2</v>
      </c>
      <c r="V129" s="1">
        <v>3</v>
      </c>
      <c r="W129" s="1">
        <v>2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22</v>
      </c>
      <c r="AF129" s="1">
        <v>100975</v>
      </c>
      <c r="AG129" s="33">
        <f t="shared" si="5"/>
        <v>0.000217875711809854</v>
      </c>
      <c r="AH129" s="1">
        <v>5</v>
      </c>
      <c r="AI129" s="1">
        <v>70</v>
      </c>
      <c r="AJ129" s="1">
        <v>3</v>
      </c>
    </row>
    <row r="130" s="2" customFormat="1" spans="1:36">
      <c r="A130" s="2" t="str">
        <f>VLOOKUP(B130,'[1]2. ISIC行业分类'!$A$2:$B$102,2,FALSE)</f>
        <v>C2790</v>
      </c>
      <c r="B130" s="14" t="s">
        <v>80</v>
      </c>
      <c r="C130" s="15" t="s">
        <v>37</v>
      </c>
      <c r="D130" s="16">
        <v>29.13445</v>
      </c>
      <c r="E130" s="16">
        <v>289.8194</v>
      </c>
      <c r="F130" s="17">
        <f t="shared" ref="F130:F193" si="6">D130/E130</f>
        <v>0.10052622426242</v>
      </c>
      <c r="G130" s="16">
        <v>86.71881</v>
      </c>
      <c r="H130" s="16">
        <v>247.55476</v>
      </c>
      <c r="I130" s="24">
        <v>0.350301525205979</v>
      </c>
      <c r="J130" s="25">
        <v>128.71467</v>
      </c>
      <c r="K130" s="24">
        <v>0.519944233752565</v>
      </c>
      <c r="L130" s="16">
        <v>26.45265</v>
      </c>
      <c r="M130" s="24">
        <v>0.106855751834463</v>
      </c>
      <c r="N130" s="26">
        <v>986</v>
      </c>
      <c r="O130" s="27" t="s">
        <v>81</v>
      </c>
      <c r="P130" s="1">
        <v>0</v>
      </c>
      <c r="Q130" s="1">
        <v>0</v>
      </c>
      <c r="R130" s="1">
        <v>0</v>
      </c>
      <c r="S130" s="1">
        <v>0</v>
      </c>
      <c r="T130" s="1">
        <v>1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2</v>
      </c>
      <c r="AF130" s="1">
        <v>32382</v>
      </c>
      <c r="AG130" s="33">
        <f t="shared" si="5"/>
        <v>6.17627076771046e-5</v>
      </c>
      <c r="AH130" s="1">
        <v>7</v>
      </c>
      <c r="AI130" s="1">
        <v>72</v>
      </c>
      <c r="AJ130" s="1">
        <v>29</v>
      </c>
    </row>
    <row r="131" s="2" customFormat="1" spans="1:36">
      <c r="A131" s="2" t="str">
        <f>VLOOKUP(B131,'[1]2. ISIC行业分类'!$A$2:$B$102,2,FALSE)</f>
        <v>C2790</v>
      </c>
      <c r="B131" s="18" t="s">
        <v>80</v>
      </c>
      <c r="C131" s="19">
        <v>2015</v>
      </c>
      <c r="D131" s="20">
        <v>28.88705</v>
      </c>
      <c r="E131" s="20">
        <v>281.9798</v>
      </c>
      <c r="F131" s="17">
        <f t="shared" si="6"/>
        <v>0.10244368568245</v>
      </c>
      <c r="G131" s="20">
        <v>93.32408</v>
      </c>
      <c r="H131" s="20">
        <v>255.33305</v>
      </c>
      <c r="I131" s="28">
        <v>0.365499413413187</v>
      </c>
      <c r="J131" s="29">
        <v>137.15205</v>
      </c>
      <c r="K131" s="28">
        <v>0.537149616941481</v>
      </c>
      <c r="L131" s="20">
        <v>17.08533</v>
      </c>
      <c r="M131" s="28">
        <v>0.0669138993169901</v>
      </c>
      <c r="N131" s="30">
        <v>1095</v>
      </c>
      <c r="O131" s="31" t="s">
        <v>81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34003</v>
      </c>
      <c r="AG131" s="33">
        <f t="shared" si="5"/>
        <v>0</v>
      </c>
      <c r="AH131" s="2">
        <v>0</v>
      </c>
      <c r="AI131" s="2">
        <v>0</v>
      </c>
      <c r="AJ131" s="2">
        <v>0</v>
      </c>
    </row>
    <row r="132" s="2" customFormat="1" spans="1:36">
      <c r="A132" s="2" t="str">
        <f>VLOOKUP(B132,'[1]2. ISIC行业分类'!$A$2:$B$102,2,FALSE)</f>
        <v>C2790</v>
      </c>
      <c r="B132" s="14" t="s">
        <v>80</v>
      </c>
      <c r="C132" s="15" t="s">
        <v>40</v>
      </c>
      <c r="D132" s="16">
        <v>36.88791</v>
      </c>
      <c r="E132" s="16">
        <v>327.27264</v>
      </c>
      <c r="F132" s="17">
        <f t="shared" si="6"/>
        <v>0.112713088390157</v>
      </c>
      <c r="G132" s="16">
        <v>165.9444</v>
      </c>
      <c r="H132" s="16">
        <v>339.5499</v>
      </c>
      <c r="I132" s="24">
        <v>0.488718742075907</v>
      </c>
      <c r="J132" s="25">
        <v>150.38985</v>
      </c>
      <c r="K132" s="24">
        <v>0.442909422149734</v>
      </c>
      <c r="L132" s="16">
        <v>26.91134</v>
      </c>
      <c r="M132" s="24">
        <v>0.0792559208528702</v>
      </c>
      <c r="N132" s="26">
        <v>1230</v>
      </c>
      <c r="O132" s="27" t="s">
        <v>81</v>
      </c>
      <c r="P132" s="1">
        <v>5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1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14</v>
      </c>
      <c r="AF132" s="1">
        <v>39882</v>
      </c>
      <c r="AG132" s="33">
        <f t="shared" si="5"/>
        <v>0.000351035554886916</v>
      </c>
      <c r="AH132" s="1">
        <v>2</v>
      </c>
      <c r="AI132" s="1">
        <v>25</v>
      </c>
      <c r="AJ132" s="1">
        <v>14</v>
      </c>
    </row>
    <row r="133" s="2" customFormat="1" spans="1:36">
      <c r="A133" s="2" t="str">
        <f>VLOOKUP(B133,'[1]2. ISIC行业分类'!$A$2:$B$102,2,FALSE)</f>
        <v>C2790</v>
      </c>
      <c r="B133" s="14" t="s">
        <v>80</v>
      </c>
      <c r="C133" s="15" t="s">
        <v>41</v>
      </c>
      <c r="D133" s="16">
        <v>48.33156</v>
      </c>
      <c r="E133" s="16">
        <v>454.94377</v>
      </c>
      <c r="F133" s="17">
        <f t="shared" si="6"/>
        <v>0.106236337734661</v>
      </c>
      <c r="G133" s="16">
        <v>193.15486</v>
      </c>
      <c r="H133" s="16">
        <v>399.96409</v>
      </c>
      <c r="I133" s="24">
        <v>0.482930505086094</v>
      </c>
      <c r="J133" s="25">
        <v>193.59916</v>
      </c>
      <c r="K133" s="24">
        <v>0.484041354812628</v>
      </c>
      <c r="L133" s="16">
        <v>36.25841</v>
      </c>
      <c r="M133" s="24">
        <v>0.0906541634775262</v>
      </c>
      <c r="N133" s="26">
        <v>1435</v>
      </c>
      <c r="O133" s="27" t="s">
        <v>81</v>
      </c>
      <c r="P133" s="1">
        <v>1</v>
      </c>
      <c r="Q133" s="1">
        <v>0</v>
      </c>
      <c r="R133" s="1">
        <v>0</v>
      </c>
      <c r="S133" s="1">
        <v>0</v>
      </c>
      <c r="T133" s="1">
        <v>2</v>
      </c>
      <c r="U133" s="1">
        <v>0</v>
      </c>
      <c r="V133" s="1">
        <v>0</v>
      </c>
      <c r="W133" s="1">
        <v>2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10</v>
      </c>
      <c r="AF133" s="1">
        <v>37470</v>
      </c>
      <c r="AG133" s="33">
        <f t="shared" si="5"/>
        <v>0.000266880170803309</v>
      </c>
      <c r="AH133" s="1">
        <v>2</v>
      </c>
      <c r="AI133" s="1">
        <v>37</v>
      </c>
      <c r="AJ133" s="1">
        <v>7</v>
      </c>
    </row>
    <row r="134" s="2" customFormat="1" spans="1:36">
      <c r="A134" s="2" t="str">
        <f>VLOOKUP(B134,'[1]2. ISIC行业分类'!$A$2:$B$102,2,FALSE)</f>
        <v>C2790</v>
      </c>
      <c r="B134" s="14" t="s">
        <v>80</v>
      </c>
      <c r="C134" s="15" t="s">
        <v>42</v>
      </c>
      <c r="D134" s="16">
        <v>54.55608</v>
      </c>
      <c r="E134" s="16">
        <v>443.46925</v>
      </c>
      <c r="F134" s="17">
        <f t="shared" si="6"/>
        <v>0.123021111384837</v>
      </c>
      <c r="G134" s="16">
        <v>184.94045</v>
      </c>
      <c r="H134" s="16">
        <v>386.4649</v>
      </c>
      <c r="I134" s="24">
        <v>0.47854397643874</v>
      </c>
      <c r="J134" s="25">
        <v>226.00207</v>
      </c>
      <c r="K134" s="24">
        <v>0.584793263243311</v>
      </c>
      <c r="L134" s="16">
        <v>12.54827</v>
      </c>
      <c r="M134" s="24">
        <v>0.0324693652644781</v>
      </c>
      <c r="N134" s="26">
        <v>1346</v>
      </c>
      <c r="O134" s="27" t="s">
        <v>81</v>
      </c>
      <c r="P134" s="1">
        <v>3</v>
      </c>
      <c r="Q134" s="1">
        <v>3</v>
      </c>
      <c r="R134" s="1">
        <v>1</v>
      </c>
      <c r="S134" s="1">
        <v>0</v>
      </c>
      <c r="T134" s="1">
        <v>0</v>
      </c>
      <c r="U134" s="1">
        <v>0</v>
      </c>
      <c r="V134" s="1">
        <v>9</v>
      </c>
      <c r="W134" s="1">
        <v>2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38</v>
      </c>
      <c r="AF134" s="1">
        <v>38695</v>
      </c>
      <c r="AG134" s="33">
        <f t="shared" si="5"/>
        <v>0.000982039023129603</v>
      </c>
      <c r="AH134" s="1">
        <v>4</v>
      </c>
      <c r="AI134" s="1">
        <v>217</v>
      </c>
      <c r="AJ134" s="1">
        <v>8</v>
      </c>
    </row>
    <row r="135" s="2" customFormat="1" spans="1:36">
      <c r="A135" s="2" t="str">
        <f>VLOOKUP(B135,'[1]2. ISIC行业分类'!$A$2:$B$102,2,FALSE)</f>
        <v>C2790</v>
      </c>
      <c r="B135" s="14" t="s">
        <v>80</v>
      </c>
      <c r="C135" s="15" t="s">
        <v>43</v>
      </c>
      <c r="D135" s="16">
        <v>50.27724</v>
      </c>
      <c r="E135" s="16">
        <v>383.69627</v>
      </c>
      <c r="F135" s="17">
        <f t="shared" si="6"/>
        <v>0.131033955581585</v>
      </c>
      <c r="G135" s="16">
        <v>202.13115</v>
      </c>
      <c r="H135" s="16">
        <v>404.45436</v>
      </c>
      <c r="I135" s="24">
        <v>0.499762569007786</v>
      </c>
      <c r="J135" s="25">
        <v>238.46607</v>
      </c>
      <c r="K135" s="24">
        <v>0.589599454435353</v>
      </c>
      <c r="L135" s="16">
        <v>12.4183</v>
      </c>
      <c r="M135" s="24">
        <v>0.0307038351620193</v>
      </c>
      <c r="N135" s="26">
        <v>1330</v>
      </c>
      <c r="O135" s="27" t="s">
        <v>81</v>
      </c>
      <c r="AH135" s="1">
        <v>4</v>
      </c>
      <c r="AI135" s="1">
        <v>71</v>
      </c>
      <c r="AJ135" s="1">
        <v>18</v>
      </c>
    </row>
    <row r="136" s="2" customFormat="1" spans="1:36">
      <c r="A136" s="2" t="str">
        <f>VLOOKUP(B136,'[1]2. ISIC行业分类'!$A$2:$B$102,2,FALSE)</f>
        <v>C2790</v>
      </c>
      <c r="B136" s="14" t="s">
        <v>80</v>
      </c>
      <c r="C136" s="15" t="s">
        <v>44</v>
      </c>
      <c r="D136" s="16">
        <v>60.15259</v>
      </c>
      <c r="E136" s="16">
        <v>447.3761</v>
      </c>
      <c r="F136" s="17">
        <f t="shared" si="6"/>
        <v>0.134456422683286</v>
      </c>
      <c r="G136" s="16">
        <v>242.23227</v>
      </c>
      <c r="H136" s="16">
        <v>485.18904</v>
      </c>
      <c r="I136" s="24">
        <v>0.49925338379449</v>
      </c>
      <c r="J136" s="25">
        <v>269.50325</v>
      </c>
      <c r="K136" s="24">
        <v>0.555460300587169</v>
      </c>
      <c r="L136" s="16">
        <v>31.2642</v>
      </c>
      <c r="M136" s="24">
        <v>0.064437152166504</v>
      </c>
      <c r="N136" s="26">
        <v>1403</v>
      </c>
      <c r="O136" s="27" t="s">
        <v>81</v>
      </c>
      <c r="P136" s="1">
        <v>11</v>
      </c>
      <c r="Q136" s="1">
        <v>10</v>
      </c>
      <c r="R136" s="1">
        <v>2</v>
      </c>
      <c r="S136" s="1">
        <v>9</v>
      </c>
      <c r="T136" s="1">
        <v>2</v>
      </c>
      <c r="U136" s="1">
        <v>2</v>
      </c>
      <c r="V136" s="1">
        <v>2</v>
      </c>
      <c r="W136" s="1">
        <v>4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77</v>
      </c>
      <c r="AF136" s="1">
        <v>37842</v>
      </c>
      <c r="AG136" s="33">
        <f t="shared" ref="AG136:AG138" si="7">AE136/AF136</f>
        <v>0.00203477617462079</v>
      </c>
      <c r="AH136" s="1">
        <v>3</v>
      </c>
      <c r="AI136" s="1">
        <v>48</v>
      </c>
      <c r="AJ136" s="1">
        <v>8</v>
      </c>
    </row>
    <row r="137" s="2" customFormat="1" spans="1:36">
      <c r="A137" s="2" t="str">
        <f>VLOOKUP(B137,'[1]2. ISIC行业分类'!$A$2:$B$102,2,FALSE)</f>
        <v>C2790</v>
      </c>
      <c r="B137" s="14" t="s">
        <v>80</v>
      </c>
      <c r="C137" s="15" t="s">
        <v>45</v>
      </c>
      <c r="D137" s="16">
        <v>60.71017</v>
      </c>
      <c r="E137" s="16">
        <v>563.53155</v>
      </c>
      <c r="F137" s="17">
        <f t="shared" si="6"/>
        <v>0.107731625673842</v>
      </c>
      <c r="G137" s="16">
        <v>227.46569</v>
      </c>
      <c r="H137" s="16">
        <v>529.10894</v>
      </c>
      <c r="I137" s="24">
        <v>0.429903320098882</v>
      </c>
      <c r="J137" s="25">
        <v>265.72438</v>
      </c>
      <c r="K137" s="24">
        <v>0.502211094751111</v>
      </c>
      <c r="L137" s="16">
        <v>73.97571</v>
      </c>
      <c r="M137" s="24">
        <v>0.139811869366637</v>
      </c>
      <c r="N137" s="26">
        <v>1571</v>
      </c>
      <c r="O137" s="27" t="s">
        <v>81</v>
      </c>
      <c r="P137" s="1">
        <v>12</v>
      </c>
      <c r="Q137" s="1">
        <v>3</v>
      </c>
      <c r="R137" s="1">
        <v>4</v>
      </c>
      <c r="S137" s="1">
        <v>13</v>
      </c>
      <c r="T137" s="1">
        <v>2</v>
      </c>
      <c r="U137" s="1">
        <v>1</v>
      </c>
      <c r="V137" s="1">
        <v>0</v>
      </c>
      <c r="W137" s="1">
        <v>3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65</v>
      </c>
      <c r="AF137" s="1">
        <v>44191</v>
      </c>
      <c r="AG137" s="33">
        <f t="shared" si="7"/>
        <v>0.00147088773732208</v>
      </c>
      <c r="AH137" s="1">
        <v>2</v>
      </c>
      <c r="AI137" s="1">
        <v>31</v>
      </c>
      <c r="AJ137" s="1">
        <v>0</v>
      </c>
    </row>
    <row r="138" s="2" customFormat="1" spans="1:36">
      <c r="A138" s="2" t="str">
        <f>VLOOKUP(B138,'[1]2. ISIC行业分类'!$A$2:$B$102,2,FALSE)</f>
        <v>C2310</v>
      </c>
      <c r="B138" s="14" t="s">
        <v>82</v>
      </c>
      <c r="C138" s="15" t="s">
        <v>37</v>
      </c>
      <c r="D138" s="16">
        <v>0</v>
      </c>
      <c r="E138" s="16">
        <v>46418.9312</v>
      </c>
      <c r="F138" s="17">
        <f t="shared" si="6"/>
        <v>0</v>
      </c>
      <c r="G138" s="16">
        <v>31938.50997</v>
      </c>
      <c r="H138" s="16">
        <v>54232.28229</v>
      </c>
      <c r="I138" s="24">
        <v>0.588920632165414</v>
      </c>
      <c r="J138" s="25">
        <v>40923.56111</v>
      </c>
      <c r="K138" s="24">
        <v>0.754597803779797</v>
      </c>
      <c r="L138" s="16">
        <v>1153.54355</v>
      </c>
      <c r="M138" s="24">
        <v>0.0212704223626728</v>
      </c>
      <c r="N138" s="26">
        <v>181742</v>
      </c>
      <c r="O138" s="27" t="s">
        <v>83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8539</v>
      </c>
      <c r="AG138" s="33">
        <f t="shared" si="7"/>
        <v>0</v>
      </c>
      <c r="AH138" s="1">
        <v>99</v>
      </c>
      <c r="AI138" s="1">
        <v>2966</v>
      </c>
      <c r="AJ138" s="1">
        <v>1249</v>
      </c>
    </row>
    <row r="139" s="2" customFormat="1" spans="1:36">
      <c r="A139" s="2" t="str">
        <f>VLOOKUP(B139,'[1]2. ISIC行业分类'!$A$2:$B$102,2,FALSE)</f>
        <v>C2310</v>
      </c>
      <c r="B139" s="14" t="s">
        <v>82</v>
      </c>
      <c r="C139" s="15" t="s">
        <v>39</v>
      </c>
      <c r="D139" s="16">
        <v>0</v>
      </c>
      <c r="E139" s="16">
        <v>43033.3967</v>
      </c>
      <c r="F139" s="17">
        <f t="shared" si="6"/>
        <v>0</v>
      </c>
      <c r="G139" s="16">
        <v>27733.91258</v>
      </c>
      <c r="H139" s="16">
        <v>48716.80697</v>
      </c>
      <c r="I139" s="24">
        <v>0.569288389468519</v>
      </c>
      <c r="J139" s="25">
        <v>34326.36439</v>
      </c>
      <c r="K139" s="24">
        <v>0.70461030853558</v>
      </c>
      <c r="L139" s="16">
        <v>1406.46212</v>
      </c>
      <c r="M139" s="24">
        <v>0.0288701622186796</v>
      </c>
      <c r="N139" s="26">
        <v>168114</v>
      </c>
      <c r="O139" s="27" t="s">
        <v>83</v>
      </c>
      <c r="AH139" s="1">
        <v>126</v>
      </c>
      <c r="AI139" s="1">
        <v>3864</v>
      </c>
      <c r="AJ139" s="1">
        <v>1185</v>
      </c>
    </row>
    <row r="140" s="2" customFormat="1" spans="1:36">
      <c r="A140" s="2" t="str">
        <f>VLOOKUP(B140,'[1]2. ISIC行业分类'!$A$2:$B$102,2,FALSE)</f>
        <v>C2310</v>
      </c>
      <c r="B140" s="14" t="s">
        <v>82</v>
      </c>
      <c r="C140" s="15" t="s">
        <v>40</v>
      </c>
      <c r="D140" s="16">
        <v>0</v>
      </c>
      <c r="E140" s="16">
        <v>41267.8138</v>
      </c>
      <c r="F140" s="17">
        <f t="shared" si="6"/>
        <v>0</v>
      </c>
      <c r="G140" s="16">
        <v>25997.04424</v>
      </c>
      <c r="H140" s="16">
        <v>46201.83682</v>
      </c>
      <c r="I140" s="24">
        <v>0.56268421407753</v>
      </c>
      <c r="J140" s="25">
        <v>33704.21198</v>
      </c>
      <c r="K140" s="24">
        <v>0.72949939439226</v>
      </c>
      <c r="L140" s="16">
        <v>1383.93329</v>
      </c>
      <c r="M140" s="24">
        <v>0.0299540751029387</v>
      </c>
      <c r="N140" s="26">
        <v>172696</v>
      </c>
      <c r="O140" s="27" t="s">
        <v>83</v>
      </c>
      <c r="AH140" s="1">
        <v>115</v>
      </c>
      <c r="AI140" s="1">
        <v>3420</v>
      </c>
      <c r="AJ140" s="1">
        <v>1002</v>
      </c>
    </row>
    <row r="141" s="2" customFormat="1" spans="1:36">
      <c r="A141" s="2" t="str">
        <f>VLOOKUP(B141,'[1]2. ISIC行业分类'!$A$2:$B$102,2,FALSE)</f>
        <v>C2310</v>
      </c>
      <c r="B141" s="14" t="s">
        <v>82</v>
      </c>
      <c r="C141" s="15" t="s">
        <v>41</v>
      </c>
      <c r="D141" s="16">
        <v>0</v>
      </c>
      <c r="E141" s="16">
        <v>49003.36216</v>
      </c>
      <c r="F141" s="17">
        <f t="shared" si="6"/>
        <v>0</v>
      </c>
      <c r="G141" s="16">
        <v>28896.49376</v>
      </c>
      <c r="H141" s="16">
        <v>51533.38137</v>
      </c>
      <c r="I141" s="24">
        <v>0.560733508879004</v>
      </c>
      <c r="J141" s="25">
        <v>38330.9318</v>
      </c>
      <c r="K141" s="24">
        <v>0.743807815070218</v>
      </c>
      <c r="L141" s="16">
        <v>1880.40346</v>
      </c>
      <c r="M141" s="24">
        <v>0.0364890370088284</v>
      </c>
      <c r="N141" s="26">
        <v>179149</v>
      </c>
      <c r="O141" s="27" t="s">
        <v>83</v>
      </c>
      <c r="AH141" s="1">
        <v>121</v>
      </c>
      <c r="AI141" s="1">
        <v>3328</v>
      </c>
      <c r="AJ141" s="1">
        <v>718</v>
      </c>
    </row>
    <row r="142" s="2" customFormat="1" spans="1:36">
      <c r="A142" s="2" t="str">
        <f>VLOOKUP(B142,'[1]2. ISIC行业分类'!$A$2:$B$102,2,FALSE)</f>
        <v>C2310</v>
      </c>
      <c r="B142" s="14" t="s">
        <v>82</v>
      </c>
      <c r="C142" s="15" t="s">
        <v>42</v>
      </c>
      <c r="D142" s="16">
        <v>0</v>
      </c>
      <c r="E142" s="16">
        <v>47829.17334</v>
      </c>
      <c r="F142" s="17">
        <f t="shared" si="6"/>
        <v>0</v>
      </c>
      <c r="G142" s="16">
        <v>33133.73025</v>
      </c>
      <c r="H142" s="16">
        <v>53766.88802</v>
      </c>
      <c r="I142" s="24">
        <v>0.616247870579287</v>
      </c>
      <c r="J142" s="25">
        <v>43927.18113</v>
      </c>
      <c r="K142" s="24">
        <v>0.816993185725388</v>
      </c>
      <c r="L142" s="16">
        <v>454.54545</v>
      </c>
      <c r="M142" s="24">
        <v>0.00845400332321484</v>
      </c>
      <c r="N142" s="26">
        <v>181001</v>
      </c>
      <c r="O142" s="27" t="s">
        <v>83</v>
      </c>
      <c r="AH142" s="1">
        <v>119</v>
      </c>
      <c r="AI142" s="1">
        <v>2474</v>
      </c>
      <c r="AJ142" s="1">
        <v>477</v>
      </c>
    </row>
    <row r="143" s="2" customFormat="1" spans="1:36">
      <c r="A143" s="2" t="str">
        <f>VLOOKUP(B143,'[1]2. ISIC行业分类'!$A$2:$B$102,2,FALSE)</f>
        <v>C2310</v>
      </c>
      <c r="B143" s="14" t="s">
        <v>82</v>
      </c>
      <c r="C143" s="15" t="s">
        <v>43</v>
      </c>
      <c r="D143" s="16">
        <v>0</v>
      </c>
      <c r="E143" s="16">
        <v>47775.78273</v>
      </c>
      <c r="F143" s="17">
        <f t="shared" si="6"/>
        <v>0</v>
      </c>
      <c r="G143" s="16">
        <v>33894.06351</v>
      </c>
      <c r="H143" s="16">
        <v>56091.34776</v>
      </c>
      <c r="I143" s="24">
        <v>0.604265450262021</v>
      </c>
      <c r="J143" s="25">
        <v>44232.97047</v>
      </c>
      <c r="K143" s="24">
        <v>0.788588119851588</v>
      </c>
      <c r="L143" s="16">
        <v>1577.82516</v>
      </c>
      <c r="M143" s="24">
        <v>0.0281295640595248</v>
      </c>
      <c r="N143" s="26">
        <v>170643</v>
      </c>
      <c r="O143" s="27" t="s">
        <v>83</v>
      </c>
      <c r="P143" s="1">
        <v>2</v>
      </c>
      <c r="Q143" s="1">
        <v>0</v>
      </c>
      <c r="R143" s="1">
        <v>0</v>
      </c>
      <c r="S143" s="1">
        <v>1</v>
      </c>
      <c r="T143" s="1">
        <v>1</v>
      </c>
      <c r="U143" s="1">
        <v>0</v>
      </c>
      <c r="V143" s="1">
        <v>4</v>
      </c>
      <c r="W143" s="1">
        <v>2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19</v>
      </c>
      <c r="AF143" s="1">
        <v>7012</v>
      </c>
      <c r="AG143" s="33">
        <f t="shared" ref="AG143:AG154" si="8">AE143/AF143</f>
        <v>0.00270964061608671</v>
      </c>
      <c r="AH143" s="1">
        <v>69</v>
      </c>
      <c r="AI143" s="1">
        <v>1187</v>
      </c>
      <c r="AJ143" s="1">
        <v>299</v>
      </c>
    </row>
    <row r="144" s="2" customFormat="1" spans="1:36">
      <c r="A144" s="2" t="str">
        <f>VLOOKUP(B144,'[1]2. ISIC行业分类'!$A$2:$B$102,2,FALSE)</f>
        <v>C2310</v>
      </c>
      <c r="B144" s="14" t="s">
        <v>82</v>
      </c>
      <c r="C144" s="15" t="s">
        <v>44</v>
      </c>
      <c r="D144" s="16">
        <v>0</v>
      </c>
      <c r="E144" s="16">
        <v>46639.75534</v>
      </c>
      <c r="F144" s="17">
        <f t="shared" si="6"/>
        <v>0</v>
      </c>
      <c r="G144" s="16">
        <v>37214.67889</v>
      </c>
      <c r="H144" s="16">
        <v>59481.34556</v>
      </c>
      <c r="I144" s="24">
        <v>0.625652942777847</v>
      </c>
      <c r="J144" s="25">
        <v>45648.92966</v>
      </c>
      <c r="K144" s="24">
        <v>0.767449512619936</v>
      </c>
      <c r="L144" s="16">
        <v>557.79817</v>
      </c>
      <c r="M144" s="24">
        <v>0.00937769925593459</v>
      </c>
      <c r="N144" s="26">
        <v>167552</v>
      </c>
      <c r="O144" s="27" t="s">
        <v>83</v>
      </c>
      <c r="P144" s="1">
        <v>3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3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12</v>
      </c>
      <c r="AF144" s="1">
        <v>7371</v>
      </c>
      <c r="AG144" s="33">
        <f t="shared" si="8"/>
        <v>0.00162800162800163</v>
      </c>
      <c r="AH144" s="1">
        <v>61</v>
      </c>
      <c r="AI144" s="1">
        <v>953</v>
      </c>
      <c r="AJ144" s="1">
        <v>121</v>
      </c>
    </row>
    <row r="145" s="2" customFormat="1" spans="1:36">
      <c r="A145" s="2" t="str">
        <f>VLOOKUP(B145,'[1]2. ISIC行业分类'!$A$2:$B$102,2,FALSE)</f>
        <v>C2310</v>
      </c>
      <c r="B145" s="14" t="s">
        <v>82</v>
      </c>
      <c r="C145" s="15" t="s">
        <v>45</v>
      </c>
      <c r="D145" s="16">
        <v>0</v>
      </c>
      <c r="E145" s="16">
        <v>50221.76733</v>
      </c>
      <c r="F145" s="17">
        <f t="shared" si="6"/>
        <v>0</v>
      </c>
      <c r="G145" s="16">
        <v>34638.91733</v>
      </c>
      <c r="H145" s="16">
        <v>58664.84706</v>
      </c>
      <c r="I145" s="24">
        <v>0.590454404399499</v>
      </c>
      <c r="J145" s="25">
        <v>44232.91256</v>
      </c>
      <c r="K145" s="24">
        <v>0.753993486333654</v>
      </c>
      <c r="L145" s="16">
        <v>2867.05334</v>
      </c>
      <c r="M145" s="24">
        <v>0.0488717431934612</v>
      </c>
      <c r="N145" s="26">
        <v>167816</v>
      </c>
      <c r="O145" s="27" t="s">
        <v>83</v>
      </c>
      <c r="P145" s="1">
        <v>3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2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1</v>
      </c>
      <c r="AE145" s="1">
        <v>12</v>
      </c>
      <c r="AF145" s="1">
        <v>9554</v>
      </c>
      <c r="AG145" s="33">
        <f t="shared" si="8"/>
        <v>0.00125601842160352</v>
      </c>
      <c r="AH145" s="1">
        <v>45</v>
      </c>
      <c r="AI145" s="1">
        <v>550</v>
      </c>
      <c r="AJ145" s="1">
        <v>48</v>
      </c>
    </row>
    <row r="146" s="2" customFormat="1" spans="1:36">
      <c r="A146" s="2" t="str">
        <f>VLOOKUP(B146,'[1]2. ISIC行业分类'!$A$2:$B$102,2,FALSE)</f>
        <v>C2310</v>
      </c>
      <c r="B146" s="14" t="s">
        <v>82</v>
      </c>
      <c r="C146" s="15" t="s">
        <v>48</v>
      </c>
      <c r="D146" s="16">
        <v>0</v>
      </c>
      <c r="E146" s="16">
        <v>54715.18647</v>
      </c>
      <c r="F146" s="17">
        <f t="shared" si="6"/>
        <v>0</v>
      </c>
      <c r="G146" s="16">
        <v>34437.31964</v>
      </c>
      <c r="H146" s="16">
        <v>59182.43024</v>
      </c>
      <c r="I146" s="24">
        <v>0.581884175765473</v>
      </c>
      <c r="J146" s="25">
        <v>42292.4014</v>
      </c>
      <c r="K146" s="24">
        <v>0.7146107591137</v>
      </c>
      <c r="L146" s="16">
        <v>3209.36197</v>
      </c>
      <c r="M146" s="24">
        <v>0.0542282896627464</v>
      </c>
      <c r="N146" s="26">
        <v>170714</v>
      </c>
      <c r="O146" s="27" t="s">
        <v>83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1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4</v>
      </c>
      <c r="AF146" s="1">
        <v>11836</v>
      </c>
      <c r="AG146" s="33">
        <f t="shared" si="8"/>
        <v>0.000337952010814464</v>
      </c>
      <c r="AH146" s="1">
        <v>1</v>
      </c>
      <c r="AI146" s="1">
        <v>11</v>
      </c>
      <c r="AJ146" s="1">
        <v>0</v>
      </c>
    </row>
    <row r="147" s="2" customFormat="1" spans="1:36">
      <c r="A147" s="2" t="str">
        <f>VLOOKUP(B147,'[1]2. ISIC行业分类'!$A$2:$B$102,2,FALSE)</f>
        <v>C3212</v>
      </c>
      <c r="B147" s="14" t="s">
        <v>84</v>
      </c>
      <c r="C147" s="15" t="s">
        <v>37</v>
      </c>
      <c r="D147" s="16">
        <v>70.4105</v>
      </c>
      <c r="E147" s="16">
        <v>13810.54082</v>
      </c>
      <c r="F147" s="17">
        <f t="shared" si="6"/>
        <v>0.00509831591084642</v>
      </c>
      <c r="G147" s="16">
        <v>5456.42439</v>
      </c>
      <c r="H147" s="16">
        <v>21933.17259</v>
      </c>
      <c r="I147" s="24">
        <v>0.248774971683201</v>
      </c>
      <c r="J147" s="25">
        <v>5087.15122</v>
      </c>
      <c r="K147" s="24">
        <v>0.231938685528759</v>
      </c>
      <c r="L147" s="16">
        <v>2854.97761</v>
      </c>
      <c r="M147" s="24">
        <v>0.13016710639033</v>
      </c>
      <c r="N147" s="26">
        <v>29101</v>
      </c>
      <c r="O147" s="27" t="s">
        <v>85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63618</v>
      </c>
      <c r="AG147" s="33">
        <f t="shared" si="8"/>
        <v>0</v>
      </c>
      <c r="AH147" s="1">
        <v>33</v>
      </c>
      <c r="AI147" s="1">
        <v>182</v>
      </c>
      <c r="AJ147" s="1">
        <v>77</v>
      </c>
    </row>
    <row r="148" s="2" customFormat="1" spans="1:36">
      <c r="A148" s="2" t="str">
        <f>VLOOKUP(B148,'[1]2. ISIC行业分类'!$A$2:$B$102,2,FALSE)</f>
        <v>C3212</v>
      </c>
      <c r="B148" s="14" t="s">
        <v>84</v>
      </c>
      <c r="C148" s="15" t="s">
        <v>39</v>
      </c>
      <c r="D148" s="16">
        <v>65.4723</v>
      </c>
      <c r="E148" s="16">
        <v>11183.32707</v>
      </c>
      <c r="F148" s="17">
        <f t="shared" si="6"/>
        <v>0.00585445633398613</v>
      </c>
      <c r="G148" s="16">
        <v>6477.95026</v>
      </c>
      <c r="H148" s="16">
        <v>21969.16796</v>
      </c>
      <c r="I148" s="24">
        <v>0.294865525712882</v>
      </c>
      <c r="J148" s="25">
        <v>4963.20567</v>
      </c>
      <c r="K148" s="24">
        <v>0.225916870362896</v>
      </c>
      <c r="L148" s="16">
        <v>1433.09878</v>
      </c>
      <c r="M148" s="24">
        <v>0.0652322738216254</v>
      </c>
      <c r="N148" s="26">
        <v>28324</v>
      </c>
      <c r="O148" s="27" t="s">
        <v>85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84485</v>
      </c>
      <c r="AG148" s="33">
        <f t="shared" si="8"/>
        <v>0</v>
      </c>
      <c r="AH148" s="1">
        <v>51</v>
      </c>
      <c r="AI148" s="1">
        <v>324</v>
      </c>
      <c r="AJ148" s="1">
        <v>121</v>
      </c>
    </row>
    <row r="149" s="2" customFormat="1" spans="1:36">
      <c r="A149" s="2" t="str">
        <f>VLOOKUP(B149,'[1]2. ISIC行业分类'!$A$2:$B$102,2,FALSE)</f>
        <v>C3212</v>
      </c>
      <c r="B149" s="14" t="s">
        <v>84</v>
      </c>
      <c r="C149" s="15" t="s">
        <v>40</v>
      </c>
      <c r="D149" s="16">
        <v>86.3382</v>
      </c>
      <c r="E149" s="16">
        <v>12614.31581</v>
      </c>
      <c r="F149" s="17">
        <f t="shared" si="6"/>
        <v>0.00684446158637913</v>
      </c>
      <c r="G149" s="16">
        <v>5783.26975</v>
      </c>
      <c r="H149" s="16">
        <v>22920.10705</v>
      </c>
      <c r="I149" s="24">
        <v>0.252322981624119</v>
      </c>
      <c r="J149" s="25">
        <v>5486.02016</v>
      </c>
      <c r="K149" s="24">
        <v>0.239354037397482</v>
      </c>
      <c r="L149" s="16">
        <v>2536.30203</v>
      </c>
      <c r="M149" s="24">
        <v>0.110658384992142</v>
      </c>
      <c r="N149" s="26">
        <v>28810</v>
      </c>
      <c r="O149" s="27" t="s">
        <v>85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62975</v>
      </c>
      <c r="AG149" s="33">
        <f t="shared" si="8"/>
        <v>0</v>
      </c>
      <c r="AH149" s="1">
        <v>50</v>
      </c>
      <c r="AI149" s="1">
        <v>289</v>
      </c>
      <c r="AJ149" s="1">
        <v>91</v>
      </c>
    </row>
    <row r="150" s="2" customFormat="1" spans="1:36">
      <c r="A150" s="2" t="str">
        <f>VLOOKUP(B150,'[1]2. ISIC行业分类'!$A$2:$B$102,2,FALSE)</f>
        <v>C3212</v>
      </c>
      <c r="B150" s="14" t="s">
        <v>84</v>
      </c>
      <c r="C150" s="15" t="s">
        <v>41</v>
      </c>
      <c r="D150" s="16">
        <v>96.0245</v>
      </c>
      <c r="E150" s="16">
        <v>11384.73053</v>
      </c>
      <c r="F150" s="17">
        <f t="shared" si="6"/>
        <v>0.00843449915190922</v>
      </c>
      <c r="G150" s="16">
        <v>4951.88195</v>
      </c>
      <c r="H150" s="16">
        <v>21556.88622</v>
      </c>
      <c r="I150" s="24">
        <v>0.229712301649844</v>
      </c>
      <c r="J150" s="25">
        <v>5566.72369</v>
      </c>
      <c r="K150" s="24">
        <v>0.258234126820937</v>
      </c>
      <c r="L150" s="16">
        <v>1293.84089</v>
      </c>
      <c r="M150" s="24">
        <v>0.0600198413071181</v>
      </c>
      <c r="N150" s="26">
        <v>28580</v>
      </c>
      <c r="O150" s="27" t="s">
        <v>85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95546</v>
      </c>
      <c r="AG150" s="33">
        <f t="shared" si="8"/>
        <v>0</v>
      </c>
      <c r="AH150" s="1">
        <v>65</v>
      </c>
      <c r="AI150" s="1">
        <v>338</v>
      </c>
      <c r="AJ150" s="1">
        <v>103</v>
      </c>
    </row>
    <row r="151" s="2" customFormat="1" spans="1:36">
      <c r="A151" s="2" t="str">
        <f>VLOOKUP(B151,'[1]2. ISIC行业分类'!$A$2:$B$102,2,FALSE)</f>
        <v>C3212</v>
      </c>
      <c r="B151" s="14" t="s">
        <v>84</v>
      </c>
      <c r="C151" s="15" t="s">
        <v>42</v>
      </c>
      <c r="D151" s="16">
        <v>100.385</v>
      </c>
      <c r="E151" s="16">
        <v>13567.82062</v>
      </c>
      <c r="F151" s="17">
        <f t="shared" si="6"/>
        <v>0.00739875642607073</v>
      </c>
      <c r="G151" s="16">
        <v>13569.0526</v>
      </c>
      <c r="H151" s="16">
        <v>31602.80891</v>
      </c>
      <c r="I151" s="24">
        <v>0.429362232915517</v>
      </c>
      <c r="J151" s="25">
        <v>6153.75138</v>
      </c>
      <c r="K151" s="24">
        <v>0.19472165899952</v>
      </c>
      <c r="L151" s="16">
        <v>1504.25034</v>
      </c>
      <c r="M151" s="24">
        <v>0.0475986278398188</v>
      </c>
      <c r="N151" s="26">
        <v>28740</v>
      </c>
      <c r="O151" s="27" t="s">
        <v>85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63953</v>
      </c>
      <c r="AG151" s="33">
        <f t="shared" si="8"/>
        <v>0</v>
      </c>
      <c r="AH151" s="1">
        <v>45</v>
      </c>
      <c r="AI151" s="1">
        <v>266</v>
      </c>
      <c r="AJ151" s="1">
        <v>47</v>
      </c>
    </row>
    <row r="152" s="2" customFormat="1" spans="1:36">
      <c r="A152" s="2" t="str">
        <f>VLOOKUP(B152,'[1]2. ISIC行业分类'!$A$2:$B$102,2,FALSE)</f>
        <v>C3212</v>
      </c>
      <c r="B152" s="14" t="s">
        <v>84</v>
      </c>
      <c r="C152" s="15" t="s">
        <v>43</v>
      </c>
      <c r="D152" s="16">
        <v>100.755</v>
      </c>
      <c r="E152" s="16">
        <v>15700.33671</v>
      </c>
      <c r="F152" s="17">
        <f t="shared" si="6"/>
        <v>0.00641737829328375</v>
      </c>
      <c r="G152" s="16">
        <v>12345.67902</v>
      </c>
      <c r="H152" s="16">
        <v>31469.13581</v>
      </c>
      <c r="I152" s="24">
        <v>0.392310710231734</v>
      </c>
      <c r="J152" s="25">
        <v>6382.71605</v>
      </c>
      <c r="K152" s="24">
        <v>0.202824637083671</v>
      </c>
      <c r="L152" s="16">
        <v>3124.57913</v>
      </c>
      <c r="M152" s="24">
        <v>0.0992902744093499</v>
      </c>
      <c r="N152" s="26">
        <v>35640</v>
      </c>
      <c r="O152" s="27" t="s">
        <v>85</v>
      </c>
      <c r="P152" s="1">
        <v>2</v>
      </c>
      <c r="Q152" s="1">
        <v>0</v>
      </c>
      <c r="R152" s="1">
        <v>0</v>
      </c>
      <c r="S152" s="1">
        <v>3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7</v>
      </c>
      <c r="AF152" s="1">
        <v>69219</v>
      </c>
      <c r="AG152" s="33">
        <f t="shared" si="8"/>
        <v>0.000101128302922608</v>
      </c>
      <c r="AH152" s="1">
        <v>61</v>
      </c>
      <c r="AI152" s="1">
        <v>316</v>
      </c>
      <c r="AJ152" s="1">
        <v>46</v>
      </c>
    </row>
    <row r="153" s="2" customFormat="1" spans="1:36">
      <c r="A153" s="2" t="str">
        <f>VLOOKUP(B153,'[1]2. ISIC行业分类'!$A$2:$B$102,2,FALSE)</f>
        <v>C3212</v>
      </c>
      <c r="B153" s="14" t="s">
        <v>84</v>
      </c>
      <c r="C153" s="15" t="s">
        <v>44</v>
      </c>
      <c r="D153" s="16">
        <v>100.5136</v>
      </c>
      <c r="E153" s="16">
        <v>15646.15385</v>
      </c>
      <c r="F153" s="17">
        <f t="shared" si="6"/>
        <v>0.00642417305643457</v>
      </c>
      <c r="G153" s="16">
        <v>14507.69231</v>
      </c>
      <c r="H153" s="16">
        <v>33473.62638</v>
      </c>
      <c r="I153" s="24">
        <v>0.433406651114088</v>
      </c>
      <c r="J153" s="25">
        <v>10867.03297</v>
      </c>
      <c r="K153" s="24">
        <v>0.324644627583371</v>
      </c>
      <c r="L153" s="16">
        <v>1025.27473</v>
      </c>
      <c r="M153" s="24">
        <v>0.0306293294416582</v>
      </c>
      <c r="N153" s="26">
        <v>35657</v>
      </c>
      <c r="O153" s="27" t="s">
        <v>85</v>
      </c>
      <c r="P153" s="1">
        <v>2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4</v>
      </c>
      <c r="AF153" s="1">
        <v>72513</v>
      </c>
      <c r="AG153" s="33">
        <f t="shared" si="8"/>
        <v>5.51625225821577e-5</v>
      </c>
      <c r="AH153" s="1">
        <v>24</v>
      </c>
      <c r="AI153" s="1">
        <v>140</v>
      </c>
      <c r="AJ153" s="1">
        <v>11</v>
      </c>
    </row>
    <row r="154" s="2" customFormat="1" spans="1:36">
      <c r="A154" s="2" t="str">
        <f>VLOOKUP(B154,'[1]2. ISIC行业分类'!$A$2:$B$102,2,FALSE)</f>
        <v>C3212</v>
      </c>
      <c r="B154" s="14" t="s">
        <v>84</v>
      </c>
      <c r="C154" s="15" t="s">
        <v>45</v>
      </c>
      <c r="D154" s="16">
        <v>76.895</v>
      </c>
      <c r="E154" s="16">
        <v>15427.23004</v>
      </c>
      <c r="F154" s="17">
        <f t="shared" si="6"/>
        <v>0.00498436853541597</v>
      </c>
      <c r="G154" s="16">
        <v>20510.56338</v>
      </c>
      <c r="H154" s="16">
        <v>41501.1737</v>
      </c>
      <c r="I154" s="24">
        <v>0.494216465497216</v>
      </c>
      <c r="J154" s="25">
        <v>12469.48357</v>
      </c>
      <c r="K154" s="24">
        <v>0.300460985998572</v>
      </c>
      <c r="L154" s="16">
        <v>1526.99531</v>
      </c>
      <c r="M154" s="24">
        <v>0.0367940271048286</v>
      </c>
      <c r="N154" s="26">
        <v>34760</v>
      </c>
      <c r="O154" s="27" t="s">
        <v>85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77407</v>
      </c>
      <c r="AG154" s="33">
        <f t="shared" si="8"/>
        <v>0</v>
      </c>
      <c r="AH154" s="1">
        <v>29</v>
      </c>
      <c r="AI154" s="1">
        <v>87</v>
      </c>
      <c r="AJ154" s="1">
        <v>3</v>
      </c>
    </row>
    <row r="155" s="2" customFormat="1" spans="1:36">
      <c r="A155" s="2" t="str">
        <f>VLOOKUP(B155,'[1]2. ISIC行业分类'!$A$2:$B$102,2,FALSE)</f>
        <v>C3212</v>
      </c>
      <c r="B155" s="14" t="s">
        <v>84</v>
      </c>
      <c r="C155" s="15" t="s">
        <v>48</v>
      </c>
      <c r="D155" s="16">
        <v>84.24</v>
      </c>
      <c r="E155" s="16">
        <v>18604.75449</v>
      </c>
      <c r="F155" s="17">
        <f t="shared" si="6"/>
        <v>0.00452787485291885</v>
      </c>
      <c r="G155" s="16">
        <v>22353.92134</v>
      </c>
      <c r="H155" s="16">
        <v>44419.01798</v>
      </c>
      <c r="I155" s="24">
        <v>0.503251137836163</v>
      </c>
      <c r="J155" s="25">
        <v>13696.95623</v>
      </c>
      <c r="K155" s="24">
        <v>0.308357925341059</v>
      </c>
      <c r="L155" s="16">
        <v>2303.93246</v>
      </c>
      <c r="M155" s="24">
        <v>0.0518681538848374</v>
      </c>
      <c r="N155" s="26">
        <v>35853</v>
      </c>
      <c r="O155" s="27" t="s">
        <v>85</v>
      </c>
      <c r="AH155" s="1">
        <v>42</v>
      </c>
      <c r="AI155" s="1">
        <v>114</v>
      </c>
      <c r="AJ155" s="1">
        <v>0</v>
      </c>
    </row>
    <row r="156" s="2" customFormat="1" spans="1:36">
      <c r="A156" s="2" t="str">
        <f>VLOOKUP(B156,'[1]2. ISIC行业分类'!$A$2:$B$102,2,FALSE)</f>
        <v>C3212</v>
      </c>
      <c r="B156" s="14" t="s">
        <v>84</v>
      </c>
      <c r="C156" s="15" t="s">
        <v>71</v>
      </c>
      <c r="D156" s="16">
        <v>98.4711</v>
      </c>
      <c r="E156" s="16">
        <v>21678.61799</v>
      </c>
      <c r="F156" s="17">
        <f t="shared" si="6"/>
        <v>0.00454231446143952</v>
      </c>
      <c r="G156" s="16">
        <v>23759.23511</v>
      </c>
      <c r="H156" s="16">
        <v>44423.07691</v>
      </c>
      <c r="I156" s="24">
        <v>0.534839924711555</v>
      </c>
      <c r="J156" s="25">
        <v>14420.90395</v>
      </c>
      <c r="K156" s="24">
        <v>0.32462640935963</v>
      </c>
      <c r="L156" s="16">
        <v>340.06954</v>
      </c>
      <c r="M156" s="24">
        <v>0.00765524505853055</v>
      </c>
      <c r="N156" s="26">
        <v>33959</v>
      </c>
      <c r="O156" s="27" t="s">
        <v>85</v>
      </c>
      <c r="AH156" s="1">
        <v>6</v>
      </c>
      <c r="AI156" s="1">
        <v>8</v>
      </c>
      <c r="AJ156" s="1">
        <v>0</v>
      </c>
    </row>
    <row r="157" s="2" customFormat="1" spans="1:36">
      <c r="A157" s="2" t="str">
        <f>VLOOKUP(B157,'[1]2. ISIC行业分类'!$A$2:$B$102,2,FALSE)</f>
        <v>C2572</v>
      </c>
      <c r="B157" s="14" t="s">
        <v>86</v>
      </c>
      <c r="C157" s="15" t="s">
        <v>37</v>
      </c>
      <c r="D157" s="16">
        <v>57.83279</v>
      </c>
      <c r="E157" s="16">
        <v>1131.29058</v>
      </c>
      <c r="F157" s="17">
        <f t="shared" si="6"/>
        <v>0.051121074481147</v>
      </c>
      <c r="G157" s="16">
        <v>369.31818</v>
      </c>
      <c r="H157" s="16">
        <v>733.78878</v>
      </c>
      <c r="I157" s="24">
        <v>0.503303116736127</v>
      </c>
      <c r="J157" s="25">
        <v>483.29275</v>
      </c>
      <c r="K157" s="24">
        <v>0.658626519200798</v>
      </c>
      <c r="L157" s="16">
        <v>102.81385</v>
      </c>
      <c r="M157" s="24">
        <v>0.140113685030725</v>
      </c>
      <c r="N157" s="26">
        <v>8064</v>
      </c>
      <c r="O157" s="27" t="s">
        <v>87</v>
      </c>
      <c r="AH157" s="1">
        <v>54</v>
      </c>
      <c r="AI157" s="1">
        <v>512</v>
      </c>
      <c r="AJ157" s="1">
        <v>125</v>
      </c>
    </row>
    <row r="158" s="2" customFormat="1" spans="1:36">
      <c r="A158" s="2" t="str">
        <f>VLOOKUP(B158,'[1]2. ISIC行业分类'!$A$2:$B$102,2,FALSE)</f>
        <v>C2572</v>
      </c>
      <c r="B158" s="14" t="s">
        <v>86</v>
      </c>
      <c r="C158" s="15" t="s">
        <v>39</v>
      </c>
      <c r="D158" s="16">
        <v>56.81515</v>
      </c>
      <c r="E158" s="16">
        <v>1158.94358</v>
      </c>
      <c r="F158" s="17">
        <f t="shared" si="6"/>
        <v>0.0490232233738246</v>
      </c>
      <c r="G158" s="16">
        <v>312.05613</v>
      </c>
      <c r="H158" s="16">
        <v>784.19855</v>
      </c>
      <c r="I158" s="24">
        <v>0.397930001273274</v>
      </c>
      <c r="J158" s="25">
        <v>453.23964</v>
      </c>
      <c r="K158" s="24">
        <v>0.577965414498662</v>
      </c>
      <c r="L158" s="16">
        <v>105.08666</v>
      </c>
      <c r="M158" s="24">
        <v>0.134005169991707</v>
      </c>
      <c r="N158" s="26">
        <v>8948</v>
      </c>
      <c r="O158" s="27" t="s">
        <v>87</v>
      </c>
      <c r="AH158" s="1">
        <v>28</v>
      </c>
      <c r="AI158" s="1">
        <v>218</v>
      </c>
      <c r="AJ158" s="1">
        <v>86</v>
      </c>
    </row>
    <row r="159" s="2" customFormat="1" spans="1:36">
      <c r="A159" s="2" t="str">
        <f>VLOOKUP(B159,'[1]2. ISIC行业分类'!$A$2:$B$102,2,FALSE)</f>
        <v>C2572</v>
      </c>
      <c r="B159" s="14" t="s">
        <v>86</v>
      </c>
      <c r="C159" s="15" t="s">
        <v>40</v>
      </c>
      <c r="D159" s="16">
        <v>83.15817</v>
      </c>
      <c r="E159" s="16">
        <v>2169.59754</v>
      </c>
      <c r="F159" s="17">
        <f t="shared" si="6"/>
        <v>0.0383288460033929</v>
      </c>
      <c r="G159" s="16">
        <v>921.60984</v>
      </c>
      <c r="H159" s="16">
        <v>1619.37965</v>
      </c>
      <c r="I159" s="24">
        <v>0.569112894558111</v>
      </c>
      <c r="J159" s="25">
        <v>633.27352</v>
      </c>
      <c r="K159" s="24">
        <v>0.391059329416669</v>
      </c>
      <c r="L159" s="16">
        <v>55.26788</v>
      </c>
      <c r="M159" s="24">
        <v>0.0341290444152488</v>
      </c>
      <c r="N159" s="26">
        <v>15786</v>
      </c>
      <c r="O159" s="27" t="s">
        <v>87</v>
      </c>
      <c r="AH159" s="1">
        <v>17</v>
      </c>
      <c r="AI159" s="1">
        <v>120</v>
      </c>
      <c r="AJ159" s="1">
        <v>33</v>
      </c>
    </row>
    <row r="160" s="2" customFormat="1" spans="1:36">
      <c r="A160" s="2" t="str">
        <f>VLOOKUP(B160,'[1]2. ISIC行业分类'!$A$2:$B$102,2,FALSE)</f>
        <v>C2572</v>
      </c>
      <c r="B160" s="14" t="s">
        <v>86</v>
      </c>
      <c r="C160" s="15" t="s">
        <v>41</v>
      </c>
      <c r="D160" s="16">
        <v>101.8736</v>
      </c>
      <c r="E160" s="16">
        <v>2630.44726</v>
      </c>
      <c r="F160" s="17">
        <f t="shared" si="6"/>
        <v>0.0387286229034678</v>
      </c>
      <c r="G160" s="16">
        <v>1801.47174</v>
      </c>
      <c r="H160" s="16">
        <v>1992.58911</v>
      </c>
      <c r="I160" s="24">
        <v>0.904085910617066</v>
      </c>
      <c r="J160" s="25">
        <v>747.45577</v>
      </c>
      <c r="K160" s="24">
        <v>0.375117863612132</v>
      </c>
      <c r="L160" s="16">
        <v>121.49679</v>
      </c>
      <c r="M160" s="24">
        <v>0.0609743320337629</v>
      </c>
      <c r="N160" s="26">
        <v>16965</v>
      </c>
      <c r="O160" s="27" t="s">
        <v>87</v>
      </c>
      <c r="AH160" s="1">
        <v>36</v>
      </c>
      <c r="AI160" s="1">
        <v>1014</v>
      </c>
      <c r="AJ160" s="1">
        <v>89</v>
      </c>
    </row>
    <row r="161" s="2" customFormat="1" spans="1:36">
      <c r="A161" s="2" t="str">
        <f>VLOOKUP(B161,'[1]2. ISIC行业分类'!$A$2:$B$102,2,FALSE)</f>
        <v>C2572</v>
      </c>
      <c r="B161" s="14" t="s">
        <v>86</v>
      </c>
      <c r="C161" s="15" t="s">
        <v>42</v>
      </c>
      <c r="D161" s="16">
        <v>109.40787</v>
      </c>
      <c r="E161" s="16">
        <v>2859.50097</v>
      </c>
      <c r="F161" s="17">
        <f t="shared" si="6"/>
        <v>0.0382611760400977</v>
      </c>
      <c r="G161" s="16">
        <v>1806.99123</v>
      </c>
      <c r="H161" s="16">
        <v>1995.209</v>
      </c>
      <c r="I161" s="24">
        <v>0.905665135832888</v>
      </c>
      <c r="J161" s="25">
        <v>822.21976</v>
      </c>
      <c r="K161" s="24">
        <v>0.412097058503645</v>
      </c>
      <c r="L161" s="16">
        <v>124.6062</v>
      </c>
      <c r="M161" s="24">
        <v>0.0624527054559197</v>
      </c>
      <c r="N161" s="26">
        <v>15801</v>
      </c>
      <c r="O161" s="27" t="s">
        <v>87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2</v>
      </c>
      <c r="AF161" s="1">
        <v>32002</v>
      </c>
      <c r="AG161" s="33">
        <f t="shared" ref="AG161:AG166" si="9">AE161/AF161</f>
        <v>6.24960939941254e-5</v>
      </c>
      <c r="AH161" s="1">
        <v>9</v>
      </c>
      <c r="AI161" s="1">
        <v>780</v>
      </c>
      <c r="AJ161" s="1">
        <v>19</v>
      </c>
    </row>
    <row r="162" s="2" customFormat="1" spans="1:36">
      <c r="A162" s="2" t="str">
        <f>VLOOKUP(B162,'[1]2. ISIC行业分类'!$A$2:$B$102,2,FALSE)</f>
        <v>C2572</v>
      </c>
      <c r="B162" s="14" t="s">
        <v>86</v>
      </c>
      <c r="C162" s="15" t="s">
        <v>43</v>
      </c>
      <c r="D162" s="16">
        <v>110.06354</v>
      </c>
      <c r="E162" s="16">
        <v>2888.1943</v>
      </c>
      <c r="F162" s="17">
        <f t="shared" si="6"/>
        <v>0.0381080801939122</v>
      </c>
      <c r="G162" s="16">
        <v>1691.43267</v>
      </c>
      <c r="H162" s="16">
        <v>1956.34351</v>
      </c>
      <c r="I162" s="24">
        <v>0.86458879095318</v>
      </c>
      <c r="J162" s="25">
        <v>865.54622</v>
      </c>
      <c r="K162" s="24">
        <v>0.442430593387968</v>
      </c>
      <c r="L162" s="16">
        <v>135.06866</v>
      </c>
      <c r="M162" s="24">
        <v>0.0690413822059297</v>
      </c>
      <c r="N162" s="26">
        <v>15829</v>
      </c>
      <c r="O162" s="27" t="s">
        <v>87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2</v>
      </c>
      <c r="AF162" s="1">
        <v>41764</v>
      </c>
      <c r="AG162" s="33">
        <f t="shared" si="9"/>
        <v>4.78881333205632e-5</v>
      </c>
      <c r="AH162" s="1">
        <v>29</v>
      </c>
      <c r="AI162" s="1">
        <v>308</v>
      </c>
      <c r="AJ162" s="1">
        <v>34</v>
      </c>
    </row>
    <row r="163" s="2" customFormat="1" spans="1:36">
      <c r="A163" s="2" t="str">
        <f>VLOOKUP(B163,'[1]2. ISIC行业分类'!$A$2:$B$102,2,FALSE)</f>
        <v>C2572</v>
      </c>
      <c r="B163" s="14" t="s">
        <v>86</v>
      </c>
      <c r="C163" s="15" t="s">
        <v>44</v>
      </c>
      <c r="D163" s="16">
        <v>108.22968</v>
      </c>
      <c r="E163" s="16">
        <v>2681.77307</v>
      </c>
      <c r="F163" s="17">
        <f t="shared" si="6"/>
        <v>0.0403575086985268</v>
      </c>
      <c r="G163" s="16">
        <v>1760.50092</v>
      </c>
      <c r="H163" s="16">
        <v>1909.69949</v>
      </c>
      <c r="I163" s="24">
        <v>0.921873273370356</v>
      </c>
      <c r="J163" s="25">
        <v>917.78768</v>
      </c>
      <c r="K163" s="24">
        <v>0.480592724041624</v>
      </c>
      <c r="L163" s="16">
        <v>89.32908</v>
      </c>
      <c r="M163" s="24">
        <v>0.0467765114185583</v>
      </c>
      <c r="N163" s="26">
        <v>15189</v>
      </c>
      <c r="O163" s="27" t="s">
        <v>87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2</v>
      </c>
      <c r="AF163" s="1">
        <v>42424</v>
      </c>
      <c r="AG163" s="33">
        <f t="shared" si="9"/>
        <v>4.71431265321516e-5</v>
      </c>
      <c r="AH163" s="1">
        <v>12</v>
      </c>
      <c r="AI163" s="1">
        <v>144</v>
      </c>
      <c r="AJ163" s="1">
        <v>17</v>
      </c>
    </row>
    <row r="164" s="2" customFormat="1" spans="1:36">
      <c r="A164" s="2" t="str">
        <f>VLOOKUP(B164,'[1]2. ISIC行业分类'!$A$2:$B$102,2,FALSE)</f>
        <v>C2572</v>
      </c>
      <c r="B164" s="14" t="s">
        <v>86</v>
      </c>
      <c r="C164" s="15" t="s">
        <v>45</v>
      </c>
      <c r="D164" s="16">
        <v>118.43728</v>
      </c>
      <c r="E164" s="16">
        <v>2703.72293</v>
      </c>
      <c r="F164" s="17">
        <f t="shared" si="6"/>
        <v>0.0438052578116797</v>
      </c>
      <c r="G164" s="16">
        <v>1735.89028</v>
      </c>
      <c r="H164" s="16">
        <v>2022.41114</v>
      </c>
      <c r="I164" s="24">
        <v>0.858327095646833</v>
      </c>
      <c r="J164" s="25">
        <v>966.21022</v>
      </c>
      <c r="K164" s="24">
        <v>0.477751630660025</v>
      </c>
      <c r="L164" s="16">
        <v>109.02719</v>
      </c>
      <c r="M164" s="24">
        <v>0.0539095082318425</v>
      </c>
      <c r="N164" s="26">
        <v>14998</v>
      </c>
      <c r="O164" s="27" t="s">
        <v>87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1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4</v>
      </c>
      <c r="AF164" s="1">
        <v>46666</v>
      </c>
      <c r="AG164" s="33">
        <f t="shared" si="9"/>
        <v>8.57155102215746e-5</v>
      </c>
      <c r="AH164" s="1">
        <v>10</v>
      </c>
      <c r="AI164" s="1">
        <v>51</v>
      </c>
      <c r="AJ164" s="1">
        <v>5</v>
      </c>
    </row>
    <row r="165" s="2" customFormat="1" spans="1:36">
      <c r="A165" s="2" t="str">
        <f>VLOOKUP(B165,'[1]2. ISIC行业分类'!$A$2:$B$102,2,FALSE)</f>
        <v>C2572</v>
      </c>
      <c r="B165" s="14" t="s">
        <v>86</v>
      </c>
      <c r="C165" s="15" t="s">
        <v>48</v>
      </c>
      <c r="D165" s="16">
        <v>124.62299</v>
      </c>
      <c r="E165" s="16">
        <v>2887.16907</v>
      </c>
      <c r="F165" s="17">
        <f t="shared" si="6"/>
        <v>0.0431644240356177</v>
      </c>
      <c r="G165" s="16">
        <v>1792.16237</v>
      </c>
      <c r="H165" s="16">
        <v>2169.80144</v>
      </c>
      <c r="I165" s="24">
        <v>0.825956853452913</v>
      </c>
      <c r="J165" s="25">
        <v>926.81803</v>
      </c>
      <c r="K165" s="24">
        <v>0.42714416762485</v>
      </c>
      <c r="L165" s="16">
        <v>20.21196</v>
      </c>
      <c r="M165" s="24">
        <v>0.0093151196360161</v>
      </c>
      <c r="N165" s="26">
        <v>15795</v>
      </c>
      <c r="O165" s="27" t="s">
        <v>87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1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2</v>
      </c>
      <c r="AF165" s="1">
        <v>45979</v>
      </c>
      <c r="AG165" s="33">
        <f t="shared" si="9"/>
        <v>4.34981187063659e-5</v>
      </c>
      <c r="AH165" s="1">
        <v>7</v>
      </c>
      <c r="AI165" s="1">
        <v>24</v>
      </c>
      <c r="AJ165" s="1">
        <v>1</v>
      </c>
    </row>
    <row r="166" s="2" customFormat="1" spans="1:36">
      <c r="A166" s="2" t="str">
        <f>VLOOKUP(B166,'[1]2. ISIC行业分类'!$A$2:$B$102,2,FALSE)</f>
        <v>C2572</v>
      </c>
      <c r="B166" s="14" t="s">
        <v>86</v>
      </c>
      <c r="C166" s="15" t="s">
        <v>71</v>
      </c>
      <c r="D166" s="16">
        <v>144.82712</v>
      </c>
      <c r="E166" s="16">
        <v>3183.51474</v>
      </c>
      <c r="F166" s="17">
        <f t="shared" si="6"/>
        <v>0.0454928378940064</v>
      </c>
      <c r="G166" s="16">
        <v>1801.28735</v>
      </c>
      <c r="H166" s="16">
        <v>2175.20059</v>
      </c>
      <c r="I166" s="24">
        <v>0.828101720034933</v>
      </c>
      <c r="J166" s="25">
        <v>990.54601</v>
      </c>
      <c r="K166" s="24">
        <v>0.455381455188002</v>
      </c>
      <c r="L166" s="16">
        <v>51.06944</v>
      </c>
      <c r="M166" s="24">
        <v>0.0234780370301389</v>
      </c>
      <c r="N166" s="26">
        <v>15352</v>
      </c>
      <c r="O166" s="27" t="s">
        <v>87</v>
      </c>
      <c r="P166" s="1">
        <v>0</v>
      </c>
      <c r="Q166" s="1">
        <v>0</v>
      </c>
      <c r="R166" s="1">
        <v>0</v>
      </c>
      <c r="S166" s="1">
        <v>1</v>
      </c>
      <c r="T166" s="1">
        <v>0</v>
      </c>
      <c r="U166" s="1">
        <v>1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7</v>
      </c>
      <c r="AF166" s="1">
        <v>41025</v>
      </c>
      <c r="AG166" s="33">
        <f t="shared" si="9"/>
        <v>0.000170627666057282</v>
      </c>
      <c r="AH166" s="1">
        <v>1</v>
      </c>
      <c r="AI166" s="1">
        <v>7</v>
      </c>
      <c r="AJ166" s="1">
        <v>0</v>
      </c>
    </row>
    <row r="167" s="2" customFormat="1" spans="1:36">
      <c r="A167" s="2" t="str">
        <f>VLOOKUP(B167,'[1]2. ISIC行业分类'!$A$2:$B$102,2,FALSE)</f>
        <v>C2100</v>
      </c>
      <c r="B167" s="14" t="s">
        <v>88</v>
      </c>
      <c r="C167" s="15" t="s">
        <v>37</v>
      </c>
      <c r="D167" s="16">
        <v>4733.6</v>
      </c>
      <c r="E167" s="16">
        <v>19615.6</v>
      </c>
      <c r="F167" s="17">
        <f t="shared" si="6"/>
        <v>0.241318134545974</v>
      </c>
      <c r="G167" s="16">
        <v>20919.5</v>
      </c>
      <c r="H167" s="16">
        <v>36307.6</v>
      </c>
      <c r="I167" s="24">
        <v>0.576174134341019</v>
      </c>
      <c r="J167" s="25">
        <v>16029.3</v>
      </c>
      <c r="K167" s="24">
        <v>0.441486080049356</v>
      </c>
      <c r="L167" s="16">
        <v>2390.5</v>
      </c>
      <c r="M167" s="24">
        <v>0.0658402097632452</v>
      </c>
      <c r="N167" s="26">
        <v>39135</v>
      </c>
      <c r="O167" s="27" t="s">
        <v>89</v>
      </c>
      <c r="AH167" s="1">
        <v>26</v>
      </c>
      <c r="AI167" s="1">
        <v>437</v>
      </c>
      <c r="AJ167" s="1">
        <v>338</v>
      </c>
    </row>
    <row r="168" s="2" customFormat="1" spans="1:36">
      <c r="A168" s="2" t="str">
        <f>VLOOKUP(B168,'[1]2. ISIC行业分类'!$A$2:$B$102,2,FALSE)</f>
        <v>C2100</v>
      </c>
      <c r="B168" s="14" t="s">
        <v>88</v>
      </c>
      <c r="C168" s="15" t="s">
        <v>39</v>
      </c>
      <c r="D168" s="16">
        <v>4796.4</v>
      </c>
      <c r="E168" s="16">
        <v>19958.7</v>
      </c>
      <c r="F168" s="17">
        <f t="shared" si="6"/>
        <v>0.240316253062574</v>
      </c>
      <c r="G168" s="16">
        <v>20978.6</v>
      </c>
      <c r="H168" s="16">
        <v>35568.9</v>
      </c>
      <c r="I168" s="24">
        <v>0.589801765025064</v>
      </c>
      <c r="J168" s="25">
        <v>16660.9</v>
      </c>
      <c r="K168" s="24">
        <v>0.46841201161689</v>
      </c>
      <c r="L168" s="16">
        <v>2408.4</v>
      </c>
      <c r="M168" s="24">
        <v>0.0677108372763847</v>
      </c>
      <c r="N168" s="26">
        <v>41275</v>
      </c>
      <c r="O168" s="27" t="s">
        <v>89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1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2</v>
      </c>
      <c r="AF168" s="1">
        <v>61293</v>
      </c>
      <c r="AG168" s="33">
        <f t="shared" ref="AG168:AG214" si="10">AE168/AF168</f>
        <v>3.26301535248723e-5</v>
      </c>
      <c r="AH168" s="1">
        <v>32</v>
      </c>
      <c r="AI168" s="1">
        <v>477</v>
      </c>
      <c r="AJ168" s="1">
        <v>472</v>
      </c>
    </row>
    <row r="169" s="2" customFormat="1" spans="1:36">
      <c r="A169" s="2" t="str">
        <f>VLOOKUP(B169,'[1]2. ISIC行业分类'!$A$2:$B$102,2,FALSE)</f>
        <v>C2100</v>
      </c>
      <c r="B169" s="14" t="s">
        <v>88</v>
      </c>
      <c r="C169" s="15" t="s">
        <v>40</v>
      </c>
      <c r="D169" s="16">
        <v>5310.3</v>
      </c>
      <c r="E169" s="16">
        <v>21222.1</v>
      </c>
      <c r="F169" s="17">
        <f t="shared" si="6"/>
        <v>0.250225001295819</v>
      </c>
      <c r="G169" s="16">
        <v>24725.4</v>
      </c>
      <c r="H169" s="16">
        <v>38805.9</v>
      </c>
      <c r="I169" s="24">
        <v>0.637155690242979</v>
      </c>
      <c r="J169" s="25">
        <v>16777.6</v>
      </c>
      <c r="K169" s="24">
        <v>0.432346627703519</v>
      </c>
      <c r="L169" s="16">
        <v>2737.6</v>
      </c>
      <c r="M169" s="24">
        <v>0.0705459736792601</v>
      </c>
      <c r="N169" s="26">
        <v>41975</v>
      </c>
      <c r="O169" s="27" t="s">
        <v>89</v>
      </c>
      <c r="AH169" s="1">
        <v>33</v>
      </c>
      <c r="AI169" s="1">
        <v>604</v>
      </c>
      <c r="AJ169" s="1">
        <v>522</v>
      </c>
    </row>
    <row r="170" s="2" customFormat="1" spans="1:36">
      <c r="A170" s="2" t="str">
        <f>VLOOKUP(B170,'[1]2. ISIC行业分类'!$A$2:$B$102,2,FALSE)</f>
        <v>C2100</v>
      </c>
      <c r="B170" s="14" t="s">
        <v>88</v>
      </c>
      <c r="C170" s="15" t="s">
        <v>41</v>
      </c>
      <c r="D170" s="16">
        <v>5096.2</v>
      </c>
      <c r="E170" s="16">
        <v>19973.8</v>
      </c>
      <c r="F170" s="17">
        <f t="shared" si="6"/>
        <v>0.255144238953028</v>
      </c>
      <c r="G170" s="16">
        <v>33313.1</v>
      </c>
      <c r="H170" s="16">
        <v>44981</v>
      </c>
      <c r="I170" s="24">
        <v>0.740603810497766</v>
      </c>
      <c r="J170" s="25">
        <v>18091.1</v>
      </c>
      <c r="K170" s="24">
        <v>0.402194259798582</v>
      </c>
      <c r="L170" s="16">
        <v>-204.1</v>
      </c>
      <c r="M170" s="24">
        <v>-0.00453747137680354</v>
      </c>
      <c r="N170" s="26">
        <v>40655</v>
      </c>
      <c r="O170" s="27" t="s">
        <v>89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1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2</v>
      </c>
      <c r="AF170" s="1">
        <v>75529</v>
      </c>
      <c r="AG170" s="33">
        <f t="shared" si="10"/>
        <v>2.64798951396152e-5</v>
      </c>
      <c r="AH170" s="1">
        <v>32</v>
      </c>
      <c r="AI170" s="1">
        <v>1097</v>
      </c>
      <c r="AJ170" s="1">
        <v>357</v>
      </c>
    </row>
    <row r="171" s="2" customFormat="1" spans="1:36">
      <c r="A171" s="2" t="str">
        <f>VLOOKUP(B171,'[1]2. ISIC行业分类'!$A$2:$B$102,2,FALSE)</f>
        <v>C2100</v>
      </c>
      <c r="B171" s="14" t="s">
        <v>88</v>
      </c>
      <c r="C171" s="15" t="s">
        <v>42</v>
      </c>
      <c r="D171" s="16">
        <v>5051.2</v>
      </c>
      <c r="E171" s="16">
        <v>21493.3</v>
      </c>
      <c r="F171" s="17">
        <f t="shared" si="6"/>
        <v>0.235012771421792</v>
      </c>
      <c r="G171" s="16">
        <v>32999.3</v>
      </c>
      <c r="H171" s="16">
        <v>43908.4</v>
      </c>
      <c r="I171" s="24">
        <v>0.751548678612748</v>
      </c>
      <c r="J171" s="25">
        <v>16663</v>
      </c>
      <c r="K171" s="24">
        <v>0.379494584179792</v>
      </c>
      <c r="L171" s="16">
        <v>3232</v>
      </c>
      <c r="M171" s="24">
        <v>0.0736077834765102</v>
      </c>
      <c r="N171" s="26">
        <v>38680</v>
      </c>
      <c r="O171" s="27" t="s">
        <v>89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97157</v>
      </c>
      <c r="AG171" s="33">
        <f t="shared" si="10"/>
        <v>0</v>
      </c>
      <c r="AH171" s="1">
        <v>24</v>
      </c>
      <c r="AI171" s="1">
        <v>363</v>
      </c>
      <c r="AJ171" s="1">
        <v>172</v>
      </c>
    </row>
    <row r="172" s="2" customFormat="1" spans="1:36">
      <c r="A172" s="2" t="str">
        <f>VLOOKUP(B172,'[1]2. ISIC行业分类'!$A$2:$B$102,2,FALSE)</f>
        <v>C2100</v>
      </c>
      <c r="B172" s="14" t="s">
        <v>88</v>
      </c>
      <c r="C172" s="15" t="s">
        <v>43</v>
      </c>
      <c r="D172" s="16">
        <v>5595</v>
      </c>
      <c r="E172" s="16">
        <v>22319.5</v>
      </c>
      <c r="F172" s="17">
        <f t="shared" si="6"/>
        <v>0.250677658549699</v>
      </c>
      <c r="G172" s="16">
        <v>36587</v>
      </c>
      <c r="H172" s="16">
        <v>39286.1</v>
      </c>
      <c r="I172" s="24">
        <v>0.931296310908947</v>
      </c>
      <c r="J172" s="25">
        <v>17034.5</v>
      </c>
      <c r="K172" s="24">
        <v>0.433601197370062</v>
      </c>
      <c r="L172" s="16">
        <v>8318.4</v>
      </c>
      <c r="M172" s="24">
        <v>0.211739012016973</v>
      </c>
      <c r="N172" s="26">
        <v>33625</v>
      </c>
      <c r="O172" s="27" t="s">
        <v>89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102201</v>
      </c>
      <c r="AG172" s="33">
        <f t="shared" si="10"/>
        <v>0</v>
      </c>
      <c r="AH172" s="1">
        <v>22</v>
      </c>
      <c r="AI172" s="1">
        <v>697</v>
      </c>
      <c r="AJ172" s="1">
        <v>187</v>
      </c>
    </row>
    <row r="173" s="2" customFormat="1" spans="1:36">
      <c r="A173" s="2" t="str">
        <f>VLOOKUP(B173,'[1]2. ISIC行业分类'!$A$2:$B$102,2,FALSE)</f>
        <v>C2100</v>
      </c>
      <c r="B173" s="14" t="s">
        <v>88</v>
      </c>
      <c r="C173" s="15" t="s">
        <v>44</v>
      </c>
      <c r="D173" s="16">
        <v>5976.3</v>
      </c>
      <c r="E173" s="16">
        <v>24539.8</v>
      </c>
      <c r="F173" s="17">
        <f t="shared" si="6"/>
        <v>0.243534992135225</v>
      </c>
      <c r="G173" s="16">
        <v>40807.9</v>
      </c>
      <c r="H173" s="16">
        <v>46633.1</v>
      </c>
      <c r="I173" s="24">
        <v>0.875084435733417</v>
      </c>
      <c r="J173" s="25">
        <v>18252.6</v>
      </c>
      <c r="K173" s="24">
        <v>0.391408677527336</v>
      </c>
      <c r="L173" s="16">
        <v>6193.7</v>
      </c>
      <c r="M173" s="24">
        <v>0.132817676714608</v>
      </c>
      <c r="N173" s="26">
        <v>35000</v>
      </c>
      <c r="O173" s="27" t="s">
        <v>89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1</v>
      </c>
      <c r="W173" s="1">
        <v>2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6</v>
      </c>
      <c r="AF173" s="1">
        <v>77887</v>
      </c>
      <c r="AG173" s="33">
        <f t="shared" si="10"/>
        <v>7.70346784444131e-5</v>
      </c>
      <c r="AH173" s="1">
        <v>17</v>
      </c>
      <c r="AI173" s="1">
        <v>233</v>
      </c>
      <c r="AJ173" s="1">
        <v>127</v>
      </c>
    </row>
    <row r="174" s="2" customFormat="1" spans="1:36">
      <c r="A174" s="2" t="str">
        <f>VLOOKUP(B174,'[1]2. ISIC行业分类'!$A$2:$B$102,2,FALSE)</f>
        <v>C2100</v>
      </c>
      <c r="B174" s="14" t="s">
        <v>88</v>
      </c>
      <c r="C174" s="15" t="s">
        <v>45</v>
      </c>
      <c r="D174" s="16">
        <v>6930.7</v>
      </c>
      <c r="E174" s="16">
        <v>28318.4</v>
      </c>
      <c r="F174" s="17">
        <f t="shared" si="6"/>
        <v>0.244741934572575</v>
      </c>
      <c r="G174" s="16">
        <v>39651.2</v>
      </c>
      <c r="H174" s="16">
        <v>48806</v>
      </c>
      <c r="I174" s="24">
        <v>0.812424701880916</v>
      </c>
      <c r="J174" s="25">
        <v>18961.8</v>
      </c>
      <c r="K174" s="24">
        <v>0.388513707331066</v>
      </c>
      <c r="L174" s="16">
        <v>5581.7</v>
      </c>
      <c r="M174" s="24">
        <v>0.114365037085604</v>
      </c>
      <c r="N174" s="26">
        <v>35000</v>
      </c>
      <c r="O174" s="27" t="s">
        <v>89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2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4</v>
      </c>
      <c r="AF174" s="1">
        <v>43396</v>
      </c>
      <c r="AG174" s="33">
        <f t="shared" si="10"/>
        <v>9.21743939533597e-5</v>
      </c>
      <c r="AH174" s="1">
        <v>6</v>
      </c>
      <c r="AI174" s="1">
        <v>35</v>
      </c>
      <c r="AJ174" s="1">
        <v>8</v>
      </c>
    </row>
    <row r="175" s="2" customFormat="1" spans="1:36">
      <c r="A175" s="2" t="str">
        <f>VLOOKUP(B175,'[1]2. ISIC行业分类'!$A$2:$B$102,2,FALSE)</f>
        <v>C2013</v>
      </c>
      <c r="B175" s="14" t="s">
        <v>90</v>
      </c>
      <c r="C175" s="15" t="s">
        <v>37</v>
      </c>
      <c r="D175" s="16">
        <v>48.178347</v>
      </c>
      <c r="E175" s="16">
        <v>2015.93682</v>
      </c>
      <c r="F175" s="17">
        <f t="shared" si="6"/>
        <v>0.023898738552729</v>
      </c>
      <c r="G175" s="16">
        <v>581.27466</v>
      </c>
      <c r="H175" s="16">
        <v>1857.96287</v>
      </c>
      <c r="I175" s="24">
        <v>0.312855907610253</v>
      </c>
      <c r="J175" s="25">
        <v>1411.80035</v>
      </c>
      <c r="K175" s="24">
        <v>0.759864673721924</v>
      </c>
      <c r="L175" s="16">
        <v>345.16288</v>
      </c>
      <c r="M175" s="24">
        <v>0.185774907331706</v>
      </c>
      <c r="N175" s="26">
        <v>2865</v>
      </c>
      <c r="O175" s="27" t="s">
        <v>91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21574</v>
      </c>
      <c r="AG175" s="33">
        <f t="shared" si="10"/>
        <v>0</v>
      </c>
      <c r="AH175" s="1">
        <v>12</v>
      </c>
      <c r="AI175" s="1">
        <v>261</v>
      </c>
      <c r="AJ175" s="1">
        <v>289</v>
      </c>
    </row>
    <row r="176" s="2" customFormat="1" spans="1:36">
      <c r="A176" s="2" t="str">
        <f>VLOOKUP(B176,'[1]2. ISIC行业分类'!$A$2:$B$102,2,FALSE)</f>
        <v>C2013</v>
      </c>
      <c r="B176" s="14" t="s">
        <v>90</v>
      </c>
      <c r="C176" s="15" t="s">
        <v>39</v>
      </c>
      <c r="D176" s="16">
        <v>44.58584</v>
      </c>
      <c r="E176" s="16">
        <v>1929.56622</v>
      </c>
      <c r="F176" s="17">
        <f t="shared" si="6"/>
        <v>0.0231066648751759</v>
      </c>
      <c r="G176" s="16">
        <v>578.46706</v>
      </c>
      <c r="H176" s="16">
        <v>1888.68769</v>
      </c>
      <c r="I176" s="24">
        <v>0.306279891091999</v>
      </c>
      <c r="J176" s="25">
        <v>1416.4501</v>
      </c>
      <c r="K176" s="24">
        <v>0.749965231149465</v>
      </c>
      <c r="L176" s="16">
        <v>375.79329</v>
      </c>
      <c r="M176" s="24">
        <v>0.198970582584779</v>
      </c>
      <c r="N176" s="26">
        <v>2855</v>
      </c>
      <c r="O176" s="27" t="s">
        <v>91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21450</v>
      </c>
      <c r="AG176" s="33">
        <f t="shared" si="10"/>
        <v>0</v>
      </c>
      <c r="AH176" s="1">
        <v>12</v>
      </c>
      <c r="AI176" s="1">
        <v>291</v>
      </c>
      <c r="AJ176" s="1">
        <v>266</v>
      </c>
    </row>
    <row r="177" s="2" customFormat="1" spans="1:36">
      <c r="A177" s="2" t="str">
        <f>VLOOKUP(B177,'[1]2. ISIC行业分类'!$A$2:$B$102,2,FALSE)</f>
        <v>C2013</v>
      </c>
      <c r="B177" s="14" t="s">
        <v>90</v>
      </c>
      <c r="C177" s="15" t="s">
        <v>40</v>
      </c>
      <c r="D177" s="16">
        <v>46.743795</v>
      </c>
      <c r="E177" s="16">
        <v>1980.64738</v>
      </c>
      <c r="F177" s="17">
        <f t="shared" si="6"/>
        <v>0.0236002609409455</v>
      </c>
      <c r="G177" s="16">
        <v>548.19154</v>
      </c>
      <c r="H177" s="16">
        <v>1953.79314</v>
      </c>
      <c r="I177" s="24">
        <v>0.280578086173442</v>
      </c>
      <c r="J177" s="25">
        <v>1460.0317</v>
      </c>
      <c r="K177" s="24">
        <v>0.747280594914977</v>
      </c>
      <c r="L177" s="16">
        <v>441.78365</v>
      </c>
      <c r="M177" s="24">
        <v>0.226115877344108</v>
      </c>
      <c r="N177" s="26">
        <v>2897</v>
      </c>
      <c r="O177" s="27" t="s">
        <v>91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22772</v>
      </c>
      <c r="AG177" s="33">
        <f t="shared" si="10"/>
        <v>0</v>
      </c>
      <c r="AH177" s="1">
        <v>4</v>
      </c>
      <c r="AI177" s="1">
        <v>112</v>
      </c>
      <c r="AJ177" s="1">
        <v>31</v>
      </c>
    </row>
    <row r="178" s="2" customFormat="1" spans="1:36">
      <c r="A178" s="2" t="str">
        <f>VLOOKUP(B178,'[1]2. ISIC行业分类'!$A$2:$B$102,2,FALSE)</f>
        <v>C2013</v>
      </c>
      <c r="B178" s="14" t="s">
        <v>90</v>
      </c>
      <c r="C178" s="15" t="s">
        <v>41</v>
      </c>
      <c r="D178" s="16">
        <v>50.68686</v>
      </c>
      <c r="E178" s="16">
        <v>2233.38635</v>
      </c>
      <c r="F178" s="17">
        <f t="shared" si="6"/>
        <v>0.0226950702013559</v>
      </c>
      <c r="G178" s="16">
        <v>563.93552</v>
      </c>
      <c r="H178" s="16">
        <v>2154.81756</v>
      </c>
      <c r="I178" s="24">
        <v>0.261709172260504</v>
      </c>
      <c r="J178" s="25">
        <v>1577.99725</v>
      </c>
      <c r="K178" s="24">
        <v>0.732311300637442</v>
      </c>
      <c r="L178" s="16">
        <v>494.08246</v>
      </c>
      <c r="M178" s="24">
        <v>0.229292014865518</v>
      </c>
      <c r="N178" s="26">
        <v>2912</v>
      </c>
      <c r="O178" s="27" t="s">
        <v>91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21962</v>
      </c>
      <c r="AG178" s="33">
        <f t="shared" si="10"/>
        <v>0</v>
      </c>
      <c r="AH178" s="1">
        <v>18</v>
      </c>
      <c r="AI178" s="1">
        <v>522</v>
      </c>
      <c r="AJ178" s="1">
        <v>155</v>
      </c>
    </row>
    <row r="179" s="2" customFormat="1" spans="1:36">
      <c r="A179" s="2" t="str">
        <f>VLOOKUP(B179,'[1]2. ISIC行业分类'!$A$2:$B$102,2,FALSE)</f>
        <v>C2013</v>
      </c>
      <c r="B179" s="14" t="s">
        <v>90</v>
      </c>
      <c r="C179" s="15" t="s">
        <v>42</v>
      </c>
      <c r="D179" s="16">
        <v>54.86784</v>
      </c>
      <c r="E179" s="16">
        <v>2387.88467</v>
      </c>
      <c r="F179" s="17">
        <f t="shared" si="6"/>
        <v>0.0229775921296902</v>
      </c>
      <c r="G179" s="16">
        <v>521.31692</v>
      </c>
      <c r="H179" s="16">
        <v>2192.78934</v>
      </c>
      <c r="I179" s="24">
        <v>0.23774145126043</v>
      </c>
      <c r="J179" s="25">
        <v>1567.45091</v>
      </c>
      <c r="K179" s="24">
        <v>0.714820562744983</v>
      </c>
      <c r="L179" s="16">
        <v>528.08549</v>
      </c>
      <c r="M179" s="24">
        <v>0.240828191001695</v>
      </c>
      <c r="N179" s="26">
        <v>2939</v>
      </c>
      <c r="O179" s="27" t="s">
        <v>91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22157</v>
      </c>
      <c r="AG179" s="33">
        <f t="shared" si="10"/>
        <v>0</v>
      </c>
      <c r="AH179" s="1">
        <v>7</v>
      </c>
      <c r="AI179" s="1">
        <v>147</v>
      </c>
      <c r="AJ179" s="1">
        <v>30</v>
      </c>
    </row>
    <row r="180" s="2" customFormat="1" spans="1:36">
      <c r="A180" s="2" t="str">
        <f>VLOOKUP(B180,'[1]2. ISIC行业分类'!$A$2:$B$102,2,FALSE)</f>
        <v>C2013</v>
      </c>
      <c r="B180" s="14" t="s">
        <v>90</v>
      </c>
      <c r="C180" s="15" t="s">
        <v>43</v>
      </c>
      <c r="D180" s="16">
        <v>51.69281</v>
      </c>
      <c r="E180" s="16">
        <v>2281.31111</v>
      </c>
      <c r="F180" s="17">
        <f t="shared" si="6"/>
        <v>0.0226592549229289</v>
      </c>
      <c r="G180" s="16">
        <v>544.83165</v>
      </c>
      <c r="H180" s="16">
        <v>2285.31942</v>
      </c>
      <c r="I180" s="24">
        <v>0.238405032238338</v>
      </c>
      <c r="J180" s="25">
        <v>1597.10787</v>
      </c>
      <c r="K180" s="24">
        <v>0.698855423020035</v>
      </c>
      <c r="L180" s="16">
        <v>544.2906</v>
      </c>
      <c r="M180" s="24">
        <v>0.23816828196384</v>
      </c>
      <c r="N180" s="26">
        <v>2648</v>
      </c>
      <c r="O180" s="27" t="s">
        <v>91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21653</v>
      </c>
      <c r="AG180" s="33">
        <f t="shared" si="10"/>
        <v>0</v>
      </c>
      <c r="AH180" s="1">
        <v>8</v>
      </c>
      <c r="AI180" s="1">
        <v>147</v>
      </c>
      <c r="AJ180" s="1">
        <v>14</v>
      </c>
    </row>
    <row r="181" s="2" customFormat="1" spans="1:36">
      <c r="A181" s="2" t="str">
        <f>VLOOKUP(B181,'[1]2. ISIC行业分类'!$A$2:$B$102,2,FALSE)</f>
        <v>C2013</v>
      </c>
      <c r="B181" s="14" t="s">
        <v>90</v>
      </c>
      <c r="C181" s="15" t="s">
        <v>44</v>
      </c>
      <c r="D181" s="16">
        <v>49.17292</v>
      </c>
      <c r="E181" s="16">
        <v>2071.82481</v>
      </c>
      <c r="F181" s="17">
        <f t="shared" si="6"/>
        <v>0.02373411099368</v>
      </c>
      <c r="G181" s="16">
        <v>512.33117</v>
      </c>
      <c r="H181" s="16">
        <v>2348.1605</v>
      </c>
      <c r="I181" s="24">
        <v>0.218184050877272</v>
      </c>
      <c r="J181" s="25">
        <v>1772.85109</v>
      </c>
      <c r="K181" s="24">
        <v>0.754995704084112</v>
      </c>
      <c r="L181" s="16">
        <v>490.91834</v>
      </c>
      <c r="M181" s="24">
        <v>0.209065070296515</v>
      </c>
      <c r="N181" s="26">
        <v>2521</v>
      </c>
      <c r="O181" s="27" t="s">
        <v>91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21975</v>
      </c>
      <c r="AG181" s="33">
        <f t="shared" si="10"/>
        <v>0</v>
      </c>
      <c r="AH181" s="1">
        <v>5</v>
      </c>
      <c r="AI181" s="1">
        <v>37</v>
      </c>
      <c r="AJ181" s="1">
        <v>4</v>
      </c>
    </row>
    <row r="182" s="2" customFormat="1" spans="1:36">
      <c r="A182" s="2" t="str">
        <f>VLOOKUP(B182,'[1]2. ISIC行业分类'!$A$2:$B$102,2,FALSE)</f>
        <v>C2013</v>
      </c>
      <c r="B182" s="14" t="s">
        <v>90</v>
      </c>
      <c r="C182" s="15" t="s">
        <v>45</v>
      </c>
      <c r="D182" s="16">
        <v>50.45828</v>
      </c>
      <c r="E182" s="16">
        <v>2504.06753</v>
      </c>
      <c r="F182" s="17">
        <f t="shared" si="6"/>
        <v>0.0201505268510071</v>
      </c>
      <c r="G182" s="16">
        <v>544.47516</v>
      </c>
      <c r="H182" s="16">
        <v>2550.07734</v>
      </c>
      <c r="I182" s="24">
        <v>0.213513194858631</v>
      </c>
      <c r="J182" s="25">
        <v>1788.49508</v>
      </c>
      <c r="K182" s="24">
        <v>0.701349348094674</v>
      </c>
      <c r="L182" s="16">
        <v>603.67921</v>
      </c>
      <c r="M182" s="24">
        <v>0.236729765223513</v>
      </c>
      <c r="N182" s="26">
        <v>2646</v>
      </c>
      <c r="O182" s="27" t="s">
        <v>91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21882</v>
      </c>
      <c r="AG182" s="33">
        <f t="shared" si="10"/>
        <v>0</v>
      </c>
      <c r="AH182" s="1">
        <v>4</v>
      </c>
      <c r="AI182" s="1">
        <v>23</v>
      </c>
      <c r="AJ182" s="1">
        <v>3</v>
      </c>
    </row>
    <row r="183" s="2" customFormat="1" spans="1:36">
      <c r="A183" s="2" t="str">
        <f>VLOOKUP(B183,'[1]2. ISIC行业分类'!$A$2:$B$102,2,FALSE)</f>
        <v>C2013</v>
      </c>
      <c r="B183" s="14" t="s">
        <v>90</v>
      </c>
      <c r="C183" s="15" t="s">
        <v>48</v>
      </c>
      <c r="D183" s="16">
        <v>48.9783</v>
      </c>
      <c r="E183" s="16">
        <v>2676.72467</v>
      </c>
      <c r="F183" s="17">
        <f t="shared" si="6"/>
        <v>0.0182978475705535</v>
      </c>
      <c r="G183" s="16">
        <v>510.03169</v>
      </c>
      <c r="H183" s="16">
        <v>2504.67735</v>
      </c>
      <c r="I183" s="24">
        <v>0.2036316933197</v>
      </c>
      <c r="J183" s="25">
        <v>1832.4094</v>
      </c>
      <c r="K183" s="24">
        <v>0.731594989670027</v>
      </c>
      <c r="L183" s="16">
        <v>575.44854</v>
      </c>
      <c r="M183" s="24">
        <v>0.229749568342605</v>
      </c>
      <c r="N183" s="26">
        <v>2693</v>
      </c>
      <c r="O183" s="27" t="s">
        <v>91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22327</v>
      </c>
      <c r="AG183" s="33">
        <f t="shared" si="10"/>
        <v>0</v>
      </c>
      <c r="AH183" s="1">
        <v>1</v>
      </c>
      <c r="AI183" s="1">
        <v>7</v>
      </c>
      <c r="AJ183" s="1">
        <v>2</v>
      </c>
    </row>
    <row r="184" s="2" customFormat="1" spans="1:36">
      <c r="A184" s="2" t="str">
        <f>VLOOKUP(B184,'[1]2. ISIC行业分类'!$A$2:$B$102,2,FALSE)</f>
        <v>C2013</v>
      </c>
      <c r="B184" s="14" t="s">
        <v>90</v>
      </c>
      <c r="C184" s="15" t="s">
        <v>71</v>
      </c>
      <c r="D184" s="16">
        <v>49.85496</v>
      </c>
      <c r="E184" s="16">
        <v>2628.05263</v>
      </c>
      <c r="F184" s="17">
        <f t="shared" si="6"/>
        <v>0.0189703050201091</v>
      </c>
      <c r="G184" s="16">
        <v>473.32138</v>
      </c>
      <c r="H184" s="16">
        <v>2573.63133</v>
      </c>
      <c r="I184" s="24">
        <v>0.183911881427088</v>
      </c>
      <c r="J184" s="25">
        <v>2015.8231</v>
      </c>
      <c r="K184" s="24">
        <v>0.783260242639337</v>
      </c>
      <c r="L184" s="16">
        <v>543.40308</v>
      </c>
      <c r="M184" s="24">
        <v>0.211142549309889</v>
      </c>
      <c r="N184" s="26">
        <v>2736</v>
      </c>
      <c r="O184" s="27" t="s">
        <v>91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23063</v>
      </c>
      <c r="AG184" s="33">
        <f t="shared" si="10"/>
        <v>0</v>
      </c>
      <c r="AH184" s="1">
        <v>1</v>
      </c>
      <c r="AI184" s="1">
        <v>5</v>
      </c>
      <c r="AJ184" s="1">
        <v>0</v>
      </c>
    </row>
    <row r="185" s="2" customFormat="1" spans="1:36">
      <c r="A185" s="2" t="str">
        <f>VLOOKUP(B185,'[1]2. ISIC行业分类'!$A$2:$B$102,2,FALSE)</f>
        <v>C2922</v>
      </c>
      <c r="B185" s="14" t="s">
        <v>92</v>
      </c>
      <c r="C185" s="15" t="s">
        <v>37</v>
      </c>
      <c r="D185" s="16">
        <v>1.070047</v>
      </c>
      <c r="E185" s="16">
        <v>506.78505</v>
      </c>
      <c r="F185" s="17">
        <f t="shared" si="6"/>
        <v>0.00211144152732998</v>
      </c>
      <c r="G185" s="16">
        <v>226.06608</v>
      </c>
      <c r="H185" s="16">
        <v>430.30221</v>
      </c>
      <c r="I185" s="24">
        <v>0.525365835327687</v>
      </c>
      <c r="J185" s="25">
        <v>353.47004</v>
      </c>
      <c r="K185" s="24">
        <v>0.821446025108725</v>
      </c>
      <c r="L185" s="16">
        <v>35.64367</v>
      </c>
      <c r="M185" s="24">
        <v>0.0828340388955939</v>
      </c>
      <c r="N185" s="26">
        <v>1987</v>
      </c>
      <c r="O185" s="27" t="s">
        <v>93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30694</v>
      </c>
      <c r="AG185" s="33">
        <f t="shared" si="10"/>
        <v>0</v>
      </c>
      <c r="AH185" s="1">
        <v>3</v>
      </c>
      <c r="AI185" s="1">
        <v>54</v>
      </c>
      <c r="AJ185" s="1">
        <v>25</v>
      </c>
    </row>
    <row r="186" s="2" customFormat="1" spans="1:36">
      <c r="A186" s="2" t="str">
        <f>VLOOKUP(B186,'[1]2. ISIC行业分类'!$A$2:$B$102,2,FALSE)</f>
        <v>C2922</v>
      </c>
      <c r="B186" s="14" t="s">
        <v>92</v>
      </c>
      <c r="C186" s="15" t="s">
        <v>39</v>
      </c>
      <c r="D186" s="16">
        <v>1.41544</v>
      </c>
      <c r="E186" s="16">
        <v>508.32093</v>
      </c>
      <c r="F186" s="17">
        <f t="shared" si="6"/>
        <v>0.00278454007392534</v>
      </c>
      <c r="G186" s="16">
        <v>218.7593</v>
      </c>
      <c r="H186" s="16">
        <v>426.37708</v>
      </c>
      <c r="I186" s="24">
        <v>0.513065336438816</v>
      </c>
      <c r="J186" s="25">
        <v>369.04446</v>
      </c>
      <c r="K186" s="24">
        <v>0.865535408235358</v>
      </c>
      <c r="L186" s="16">
        <v>20.76987</v>
      </c>
      <c r="M186" s="24">
        <v>0.0487124448621863</v>
      </c>
      <c r="N186" s="26">
        <v>2049</v>
      </c>
      <c r="O186" s="27" t="s">
        <v>93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30818</v>
      </c>
      <c r="AG186" s="33">
        <f t="shared" si="10"/>
        <v>0</v>
      </c>
      <c r="AH186" s="1">
        <v>7</v>
      </c>
      <c r="AI186" s="1">
        <v>171</v>
      </c>
      <c r="AJ186" s="1">
        <v>61</v>
      </c>
    </row>
    <row r="187" s="2" customFormat="1" spans="1:36">
      <c r="A187" s="2" t="str">
        <f>VLOOKUP(B187,'[1]2. ISIC行业分类'!$A$2:$B$102,2,FALSE)</f>
        <v>C2922</v>
      </c>
      <c r="B187" s="18" t="s">
        <v>92</v>
      </c>
      <c r="C187" s="19">
        <v>2016</v>
      </c>
      <c r="D187" s="20">
        <v>0</v>
      </c>
      <c r="E187" s="20">
        <v>543.65808</v>
      </c>
      <c r="F187" s="17">
        <f t="shared" si="6"/>
        <v>0</v>
      </c>
      <c r="G187" s="20">
        <v>296.1409</v>
      </c>
      <c r="H187" s="20">
        <v>522.49404</v>
      </c>
      <c r="I187" s="28">
        <v>0.5667833072316</v>
      </c>
      <c r="J187" s="29">
        <v>428.70011</v>
      </c>
      <c r="K187" s="28">
        <v>0.820488038485568</v>
      </c>
      <c r="L187" s="20">
        <v>31.56392</v>
      </c>
      <c r="M187" s="28">
        <v>0.0604101053478045</v>
      </c>
      <c r="N187" s="30">
        <v>2239</v>
      </c>
      <c r="O187" s="31" t="s">
        <v>93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1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2</v>
      </c>
      <c r="AF187" s="1">
        <v>34275</v>
      </c>
      <c r="AG187" s="33">
        <f t="shared" si="10"/>
        <v>5.83515681983953e-5</v>
      </c>
      <c r="AH187" s="2">
        <v>0</v>
      </c>
      <c r="AI187" s="2">
        <v>0</v>
      </c>
      <c r="AJ187" s="2">
        <v>0</v>
      </c>
    </row>
    <row r="188" s="2" customFormat="1" spans="1:36">
      <c r="A188" s="2" t="str">
        <f>VLOOKUP(B188,'[1]2. ISIC行业分类'!$A$2:$B$102,2,FALSE)</f>
        <v>C2922</v>
      </c>
      <c r="B188" s="14" t="s">
        <v>92</v>
      </c>
      <c r="C188" s="15" t="s">
        <v>41</v>
      </c>
      <c r="D188" s="16">
        <v>3.4272</v>
      </c>
      <c r="E188" s="16">
        <v>628.3174</v>
      </c>
      <c r="F188" s="17">
        <f t="shared" si="6"/>
        <v>0.00545456802565073</v>
      </c>
      <c r="G188" s="16">
        <v>354.15264</v>
      </c>
      <c r="H188" s="16">
        <v>616.03698</v>
      </c>
      <c r="I188" s="24">
        <v>0.574888604901608</v>
      </c>
      <c r="J188" s="25">
        <v>524.06419</v>
      </c>
      <c r="K188" s="24">
        <v>0.850702485425469</v>
      </c>
      <c r="L188" s="16">
        <v>28.46721</v>
      </c>
      <c r="M188" s="24">
        <v>0.0462102291326732</v>
      </c>
      <c r="N188" s="26">
        <v>2485</v>
      </c>
      <c r="O188" s="27" t="s">
        <v>93</v>
      </c>
      <c r="P188" s="1">
        <v>2</v>
      </c>
      <c r="Q188" s="1">
        <v>0</v>
      </c>
      <c r="R188" s="1">
        <v>0</v>
      </c>
      <c r="S188" s="1">
        <v>0</v>
      </c>
      <c r="T188" s="1">
        <v>1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6</v>
      </c>
      <c r="AF188" s="1">
        <v>34211</v>
      </c>
      <c r="AG188" s="33">
        <f t="shared" si="10"/>
        <v>0.000175382187015872</v>
      </c>
      <c r="AH188" s="1">
        <v>2</v>
      </c>
      <c r="AI188" s="1">
        <v>38</v>
      </c>
      <c r="AJ188" s="1">
        <v>9</v>
      </c>
    </row>
    <row r="189" s="2" customFormat="1" spans="1:36">
      <c r="A189" s="2" t="str">
        <f>VLOOKUP(B189,'[1]2. ISIC行业分类'!$A$2:$B$102,2,FALSE)</f>
        <v>C2922</v>
      </c>
      <c r="B189" s="18" t="s">
        <v>92</v>
      </c>
      <c r="C189" s="19">
        <v>2018</v>
      </c>
      <c r="D189" s="20">
        <v>0</v>
      </c>
      <c r="E189" s="20">
        <v>690.62868</v>
      </c>
      <c r="F189" s="17">
        <f t="shared" si="6"/>
        <v>0</v>
      </c>
      <c r="G189" s="20">
        <v>390.78723</v>
      </c>
      <c r="H189" s="20">
        <v>716.77711</v>
      </c>
      <c r="I189" s="28">
        <v>0.545200487777853</v>
      </c>
      <c r="J189" s="29">
        <v>613.66621</v>
      </c>
      <c r="K189" s="28">
        <v>0.856146494410236</v>
      </c>
      <c r="L189" s="20">
        <v>30.97484</v>
      </c>
      <c r="M189" s="28">
        <v>0.0432140473905479</v>
      </c>
      <c r="N189" s="30">
        <v>2697</v>
      </c>
      <c r="O189" s="31" t="s">
        <v>93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33748</v>
      </c>
      <c r="AG189" s="33">
        <f t="shared" si="10"/>
        <v>0</v>
      </c>
      <c r="AH189" s="2">
        <v>0</v>
      </c>
      <c r="AI189" s="2">
        <v>0</v>
      </c>
      <c r="AJ189" s="2">
        <v>0</v>
      </c>
    </row>
    <row r="190" s="2" customFormat="1" spans="1:36">
      <c r="A190" s="2" t="str">
        <f>VLOOKUP(B190,'[1]2. ISIC行业分类'!$A$2:$B$102,2,FALSE)</f>
        <v>C2922</v>
      </c>
      <c r="B190" s="14" t="s">
        <v>92</v>
      </c>
      <c r="C190" s="15" t="s">
        <v>43</v>
      </c>
      <c r="D190" s="16">
        <v>2.06545</v>
      </c>
      <c r="E190" s="16">
        <v>653.26849</v>
      </c>
      <c r="F190" s="17">
        <f t="shared" si="6"/>
        <v>0.00316171686162301</v>
      </c>
      <c r="G190" s="16">
        <v>409.27423</v>
      </c>
      <c r="H190" s="16">
        <v>729.25792</v>
      </c>
      <c r="I190" s="24">
        <v>0.561220137314381</v>
      </c>
      <c r="J190" s="25">
        <v>661.85196</v>
      </c>
      <c r="K190" s="24">
        <v>0.907569108059875</v>
      </c>
      <c r="L190" s="16">
        <v>10.99753</v>
      </c>
      <c r="M190" s="24">
        <v>0.0150804395789078</v>
      </c>
      <c r="N190" s="26">
        <v>2641</v>
      </c>
      <c r="O190" s="27" t="s">
        <v>93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31987</v>
      </c>
      <c r="AG190" s="33">
        <f t="shared" si="10"/>
        <v>0</v>
      </c>
      <c r="AH190" s="1">
        <v>2</v>
      </c>
      <c r="AI190" s="1">
        <v>50</v>
      </c>
      <c r="AJ190" s="1">
        <v>3</v>
      </c>
    </row>
    <row r="191" s="2" customFormat="1" spans="1:36">
      <c r="A191" s="2" t="str">
        <f>VLOOKUP(B191,'[1]2. ISIC行业分类'!$A$2:$B$102,2,FALSE)</f>
        <v>C2229</v>
      </c>
      <c r="B191" s="14" t="s">
        <v>94</v>
      </c>
      <c r="C191" s="15" t="s">
        <v>37</v>
      </c>
      <c r="D191" s="16">
        <v>16.61029</v>
      </c>
      <c r="E191" s="16">
        <v>1235.0004</v>
      </c>
      <c r="F191" s="17">
        <f t="shared" si="6"/>
        <v>0.0134496231742111</v>
      </c>
      <c r="G191" s="16">
        <v>359.18499</v>
      </c>
      <c r="H191" s="16">
        <v>1102.92341</v>
      </c>
      <c r="I191" s="24">
        <v>0.325666303519661</v>
      </c>
      <c r="J191" s="25">
        <v>981.61794</v>
      </c>
      <c r="K191" s="24">
        <v>0.890014602192549</v>
      </c>
      <c r="L191" s="16">
        <v>124.42619</v>
      </c>
      <c r="M191" s="24">
        <v>0.112814896185765</v>
      </c>
      <c r="N191" s="26">
        <v>5161</v>
      </c>
      <c r="O191" s="27" t="s">
        <v>95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33099</v>
      </c>
      <c r="AG191" s="33">
        <f t="shared" si="10"/>
        <v>0</v>
      </c>
      <c r="AH191" s="1">
        <v>2</v>
      </c>
      <c r="AI191" s="1">
        <v>23</v>
      </c>
      <c r="AJ191" s="1">
        <v>3</v>
      </c>
    </row>
    <row r="192" s="2" customFormat="1" spans="1:36">
      <c r="A192" s="2" t="str">
        <f>VLOOKUP(B192,'[1]2. ISIC行业分类'!$A$2:$B$102,2,FALSE)</f>
        <v>C2229</v>
      </c>
      <c r="B192" s="14" t="s">
        <v>94</v>
      </c>
      <c r="C192" s="15" t="s">
        <v>39</v>
      </c>
      <c r="D192" s="16">
        <v>15.08175</v>
      </c>
      <c r="E192" s="16">
        <v>1137.72335</v>
      </c>
      <c r="F192" s="17">
        <f t="shared" si="6"/>
        <v>0.0132560784658239</v>
      </c>
      <c r="G192" s="16">
        <v>352.47351</v>
      </c>
      <c r="H192" s="16">
        <v>910.99769</v>
      </c>
      <c r="I192" s="24">
        <v>0.386909334534097</v>
      </c>
      <c r="J192" s="25">
        <v>898.71256</v>
      </c>
      <c r="K192" s="24">
        <v>0.986514641985536</v>
      </c>
      <c r="L192" s="16">
        <v>115.56017</v>
      </c>
      <c r="M192" s="24">
        <v>0.126850124065627</v>
      </c>
      <c r="N192" s="26">
        <v>5222</v>
      </c>
      <c r="O192" s="27" t="s">
        <v>95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33044</v>
      </c>
      <c r="AG192" s="33">
        <f t="shared" si="10"/>
        <v>0</v>
      </c>
      <c r="AH192" s="1">
        <v>1</v>
      </c>
      <c r="AI192" s="1">
        <v>19</v>
      </c>
      <c r="AJ192" s="1">
        <v>3</v>
      </c>
    </row>
    <row r="193" s="2" customFormat="1" spans="1:36">
      <c r="A193" s="2" t="str">
        <f>VLOOKUP(B193,'[1]2. ISIC行业分类'!$A$2:$B$102,2,FALSE)</f>
        <v>C2229</v>
      </c>
      <c r="B193" s="14" t="s">
        <v>94</v>
      </c>
      <c r="C193" s="15" t="s">
        <v>40</v>
      </c>
      <c r="D193" s="16">
        <v>14.86542</v>
      </c>
      <c r="E193" s="16">
        <v>1167.08342</v>
      </c>
      <c r="F193" s="17">
        <f t="shared" si="6"/>
        <v>0.0127372386114439</v>
      </c>
      <c r="G193" s="16">
        <v>362.18473</v>
      </c>
      <c r="H193" s="16">
        <v>973.93136</v>
      </c>
      <c r="I193" s="24">
        <v>0.37187911271283</v>
      </c>
      <c r="J193" s="25">
        <v>884.34504</v>
      </c>
      <c r="K193" s="24">
        <v>0.908015776389005</v>
      </c>
      <c r="L193" s="16">
        <v>125.61775</v>
      </c>
      <c r="M193" s="24">
        <v>0.128980085413822</v>
      </c>
      <c r="N193" s="26">
        <v>5346</v>
      </c>
      <c r="O193" s="27" t="s">
        <v>95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34454</v>
      </c>
      <c r="AG193" s="33">
        <f t="shared" si="10"/>
        <v>0</v>
      </c>
      <c r="AH193" s="1">
        <v>1</v>
      </c>
      <c r="AI193" s="1">
        <v>22</v>
      </c>
      <c r="AJ193" s="1">
        <v>6</v>
      </c>
    </row>
    <row r="194" s="2" customFormat="1" spans="1:33">
      <c r="A194" s="2" t="str">
        <f>VLOOKUP(B194,'[1]2. ISIC行业分类'!$A$2:$B$102,2,FALSE)</f>
        <v>C2229</v>
      </c>
      <c r="B194" s="18" t="s">
        <v>94</v>
      </c>
      <c r="C194" s="19">
        <v>2017</v>
      </c>
      <c r="D194" s="20">
        <v>15.90461</v>
      </c>
      <c r="E194" s="20">
        <v>1278.93614</v>
      </c>
      <c r="F194" s="17">
        <f t="shared" ref="F194:F257" si="11">D194/E194</f>
        <v>0.0124358124714499</v>
      </c>
      <c r="G194" s="20">
        <v>416.90609</v>
      </c>
      <c r="H194" s="20">
        <v>1095.36611</v>
      </c>
      <c r="I194" s="28">
        <v>0.380608899795156</v>
      </c>
      <c r="J194" s="29">
        <v>1040.0591</v>
      </c>
      <c r="K194" s="28">
        <v>0.949508196853014</v>
      </c>
      <c r="L194" s="20">
        <v>39.71023</v>
      </c>
      <c r="M194" s="28">
        <v>0.0362529291690429</v>
      </c>
      <c r="N194" s="30">
        <v>5559</v>
      </c>
      <c r="O194" s="31" t="s">
        <v>95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36319</v>
      </c>
      <c r="AG194" s="33">
        <f t="shared" si="10"/>
        <v>0</v>
      </c>
    </row>
    <row r="195" s="2" customFormat="1" spans="1:36">
      <c r="A195" s="2" t="str">
        <f>VLOOKUP(B195,'[1]2. ISIC行业分类'!$A$2:$B$102,2,FALSE)</f>
        <v>C2229</v>
      </c>
      <c r="B195" s="14" t="s">
        <v>94</v>
      </c>
      <c r="C195" s="15" t="s">
        <v>42</v>
      </c>
      <c r="D195" s="16">
        <v>16.87061</v>
      </c>
      <c r="E195" s="16">
        <v>1348.63206</v>
      </c>
      <c r="F195" s="17">
        <f t="shared" si="11"/>
        <v>0.0125094238082995</v>
      </c>
      <c r="G195" s="16">
        <v>394.73149</v>
      </c>
      <c r="H195" s="16">
        <v>995.97545</v>
      </c>
      <c r="I195" s="24">
        <v>0.396326525919891</v>
      </c>
      <c r="J195" s="25">
        <v>1012.03301</v>
      </c>
      <c r="K195" s="24">
        <v>1.01612244558839</v>
      </c>
      <c r="L195" s="16">
        <v>139.84308</v>
      </c>
      <c r="M195" s="24">
        <v>0.140408159658955</v>
      </c>
      <c r="N195" s="26">
        <v>5739</v>
      </c>
      <c r="O195" s="27" t="s">
        <v>95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35204</v>
      </c>
      <c r="AG195" s="33">
        <f t="shared" si="10"/>
        <v>0</v>
      </c>
      <c r="AH195" s="1">
        <v>1</v>
      </c>
      <c r="AI195" s="1">
        <v>28</v>
      </c>
      <c r="AJ195" s="1">
        <v>3</v>
      </c>
    </row>
    <row r="196" s="2" customFormat="1" spans="1:33">
      <c r="A196" s="2" t="str">
        <f>VLOOKUP(B196,'[1]2. ISIC行业分类'!$A$2:$B$102,2,FALSE)</f>
        <v>C2229</v>
      </c>
      <c r="B196" s="18" t="s">
        <v>94</v>
      </c>
      <c r="C196" s="19">
        <v>2019</v>
      </c>
      <c r="D196" s="20">
        <v>16.52056</v>
      </c>
      <c r="E196" s="20">
        <v>1323.91661</v>
      </c>
      <c r="F196" s="17">
        <f t="shared" si="11"/>
        <v>0.012478550291774</v>
      </c>
      <c r="G196" s="20">
        <v>434.49081</v>
      </c>
      <c r="H196" s="20">
        <v>1133.10411</v>
      </c>
      <c r="I196" s="28">
        <v>0.383451799499695</v>
      </c>
      <c r="J196" s="29">
        <v>1080.54807</v>
      </c>
      <c r="K196" s="28">
        <v>0.953617642424755</v>
      </c>
      <c r="L196" s="20">
        <v>142.79962</v>
      </c>
      <c r="M196" s="28">
        <v>0.12602515403461</v>
      </c>
      <c r="N196" s="30">
        <v>5614</v>
      </c>
      <c r="O196" s="31" t="s">
        <v>95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1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2</v>
      </c>
      <c r="AF196" s="1">
        <v>35840</v>
      </c>
      <c r="AG196" s="33">
        <f t="shared" si="10"/>
        <v>5.58035714285714e-5</v>
      </c>
    </row>
    <row r="197" s="2" customFormat="1" spans="1:33">
      <c r="A197" s="2" t="str">
        <f>VLOOKUP(B197,'[1]2. ISIC行业分类'!$A$2:$B$102,2,FALSE)</f>
        <v>C2229</v>
      </c>
      <c r="B197" s="18" t="s">
        <v>94</v>
      </c>
      <c r="C197" s="19">
        <v>2020</v>
      </c>
      <c r="D197" s="20">
        <v>17.17999</v>
      </c>
      <c r="E197" s="20">
        <v>1263.29472</v>
      </c>
      <c r="F197" s="17">
        <f t="shared" si="11"/>
        <v>0.0135993523348218</v>
      </c>
      <c r="G197" s="20">
        <v>482.96129</v>
      </c>
      <c r="H197" s="20">
        <v>1255.4959</v>
      </c>
      <c r="I197" s="28">
        <v>0.384677711810927</v>
      </c>
      <c r="J197" s="29">
        <v>1210.62447</v>
      </c>
      <c r="K197" s="28">
        <v>0.964259994795682</v>
      </c>
      <c r="L197" s="20">
        <v>120.03391</v>
      </c>
      <c r="M197" s="28">
        <v>0.0956067717943165</v>
      </c>
      <c r="N197" s="30">
        <v>5317</v>
      </c>
      <c r="O197" s="31" t="s">
        <v>95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1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2</v>
      </c>
      <c r="AF197" s="1">
        <v>34135</v>
      </c>
      <c r="AG197" s="33">
        <f t="shared" si="10"/>
        <v>5.85908891167423e-5</v>
      </c>
    </row>
    <row r="198" s="2" customFormat="1" spans="1:36">
      <c r="A198" s="2" t="str">
        <f>VLOOKUP(B198,'[1]2. ISIC行业分类'!$A$2:$B$102,2,FALSE)</f>
        <v>C2229</v>
      </c>
      <c r="B198" s="14" t="s">
        <v>94</v>
      </c>
      <c r="C198" s="15" t="s">
        <v>45</v>
      </c>
      <c r="D198" s="16">
        <v>17.44167</v>
      </c>
      <c r="E198" s="16">
        <v>1375.58825</v>
      </c>
      <c r="F198" s="17">
        <f t="shared" si="11"/>
        <v>0.0126794264199334</v>
      </c>
      <c r="G198" s="16">
        <v>504.38236</v>
      </c>
      <c r="H198" s="16">
        <v>1076.77625</v>
      </c>
      <c r="I198" s="24">
        <v>0.46841891247137</v>
      </c>
      <c r="J198" s="25">
        <v>1184.71715</v>
      </c>
      <c r="K198" s="24">
        <v>1.10024450297822</v>
      </c>
      <c r="L198" s="16">
        <v>154.8908</v>
      </c>
      <c r="M198" s="24">
        <v>0.143846783396272</v>
      </c>
      <c r="N198" s="26">
        <v>5532</v>
      </c>
      <c r="O198" s="27" t="s">
        <v>95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1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2</v>
      </c>
      <c r="AF198" s="1">
        <v>35261</v>
      </c>
      <c r="AG198" s="33">
        <f t="shared" si="10"/>
        <v>5.67198888290179e-5</v>
      </c>
      <c r="AH198" s="1">
        <v>1</v>
      </c>
      <c r="AI198" s="1">
        <v>5</v>
      </c>
      <c r="AJ198" s="1">
        <v>0</v>
      </c>
    </row>
    <row r="199" s="2" customFormat="1" spans="1:36">
      <c r="A199" s="2" t="str">
        <f>VLOOKUP(B199,'[1]2. ISIC行业分类'!$A$2:$B$102,2,FALSE)</f>
        <v>C2223</v>
      </c>
      <c r="B199" s="14" t="s">
        <v>96</v>
      </c>
      <c r="C199" s="15" t="s">
        <v>37</v>
      </c>
      <c r="D199" s="16">
        <v>60.9894</v>
      </c>
      <c r="E199" s="16">
        <v>2103.06435</v>
      </c>
      <c r="F199" s="17">
        <f t="shared" si="11"/>
        <v>0.0290002538438731</v>
      </c>
      <c r="G199" s="16">
        <v>719.17532</v>
      </c>
      <c r="H199" s="16">
        <v>2447.75308</v>
      </c>
      <c r="I199" s="24">
        <v>0.293810403457852</v>
      </c>
      <c r="J199" s="25">
        <v>1401.40533</v>
      </c>
      <c r="K199" s="24">
        <v>0.572527246089708</v>
      </c>
      <c r="L199" s="16">
        <v>501.93283</v>
      </c>
      <c r="M199" s="24">
        <v>0.205058604195485</v>
      </c>
      <c r="N199" s="26">
        <v>6087</v>
      </c>
      <c r="O199" s="27" t="s">
        <v>58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67611</v>
      </c>
      <c r="AG199" s="33">
        <f t="shared" si="10"/>
        <v>0</v>
      </c>
      <c r="AH199" s="1">
        <v>18</v>
      </c>
      <c r="AI199" s="1">
        <v>108</v>
      </c>
      <c r="AJ199" s="1">
        <v>52</v>
      </c>
    </row>
    <row r="200" s="2" customFormat="1" spans="1:36">
      <c r="A200" s="2" t="str">
        <f>VLOOKUP(B200,'[1]2. ISIC行业分类'!$A$2:$B$102,2,FALSE)</f>
        <v>C2223</v>
      </c>
      <c r="B200" s="14" t="s">
        <v>96</v>
      </c>
      <c r="C200" s="15" t="s">
        <v>39</v>
      </c>
      <c r="D200" s="16">
        <v>65.52</v>
      </c>
      <c r="E200" s="16">
        <v>2590.56542</v>
      </c>
      <c r="F200" s="17">
        <f t="shared" si="11"/>
        <v>0.0252917758780243</v>
      </c>
      <c r="G200" s="16">
        <v>2069.09639</v>
      </c>
      <c r="H200" s="16">
        <v>3549.5051</v>
      </c>
      <c r="I200" s="24">
        <v>0.582925318236618</v>
      </c>
      <c r="J200" s="25">
        <v>2119.63524</v>
      </c>
      <c r="K200" s="24">
        <v>0.597163598947921</v>
      </c>
      <c r="L200" s="16">
        <v>421.88951</v>
      </c>
      <c r="M200" s="24">
        <v>0.118858685398142</v>
      </c>
      <c r="N200" s="26">
        <v>11925</v>
      </c>
      <c r="O200" s="27" t="s">
        <v>58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61739</v>
      </c>
      <c r="AG200" s="33">
        <f t="shared" si="10"/>
        <v>0</v>
      </c>
      <c r="AH200" s="1">
        <v>25</v>
      </c>
      <c r="AI200" s="1">
        <v>207</v>
      </c>
      <c r="AJ200" s="1">
        <v>58</v>
      </c>
    </row>
    <row r="201" s="2" customFormat="1" spans="1:36">
      <c r="A201" s="2" t="str">
        <f>VLOOKUP(B201,'[1]2. ISIC行业分类'!$A$2:$B$102,2,FALSE)</f>
        <v>C2223</v>
      </c>
      <c r="B201" s="14" t="s">
        <v>96</v>
      </c>
      <c r="C201" s="15" t="s">
        <v>40</v>
      </c>
      <c r="D201" s="16">
        <v>73.08</v>
      </c>
      <c r="E201" s="16">
        <v>2765.36258</v>
      </c>
      <c r="F201" s="17">
        <f t="shared" si="11"/>
        <v>0.026426914332514</v>
      </c>
      <c r="G201" s="16">
        <v>1935.36002</v>
      </c>
      <c r="H201" s="16">
        <v>3545.15742</v>
      </c>
      <c r="I201" s="24">
        <v>0.545916525196221</v>
      </c>
      <c r="J201" s="25">
        <v>2056.25234</v>
      </c>
      <c r="K201" s="24">
        <v>0.580017216837722</v>
      </c>
      <c r="L201" s="16">
        <v>539.68379</v>
      </c>
      <c r="M201" s="24">
        <v>0.152231262554203</v>
      </c>
      <c r="N201" s="26">
        <v>11392</v>
      </c>
      <c r="O201" s="27" t="s">
        <v>58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67505</v>
      </c>
      <c r="AG201" s="33">
        <f t="shared" si="10"/>
        <v>0</v>
      </c>
      <c r="AH201" s="1">
        <v>27</v>
      </c>
      <c r="AI201" s="1">
        <v>194</v>
      </c>
      <c r="AJ201" s="1">
        <v>39</v>
      </c>
    </row>
    <row r="202" s="2" customFormat="1" spans="1:36">
      <c r="A202" s="2" t="str">
        <f>VLOOKUP(B202,'[1]2. ISIC行业分类'!$A$2:$B$102,2,FALSE)</f>
        <v>C2223</v>
      </c>
      <c r="B202" s="14" t="s">
        <v>96</v>
      </c>
      <c r="C202" s="15" t="s">
        <v>41</v>
      </c>
      <c r="D202" s="16">
        <v>79.56</v>
      </c>
      <c r="E202" s="16">
        <v>2984.21852</v>
      </c>
      <c r="F202" s="17">
        <f t="shared" si="11"/>
        <v>0.0266602460465931</v>
      </c>
      <c r="G202" s="16">
        <v>1955.34395</v>
      </c>
      <c r="H202" s="16">
        <v>3840.50238</v>
      </c>
      <c r="I202" s="24">
        <v>0.509137544135567</v>
      </c>
      <c r="J202" s="25">
        <v>2326.17797</v>
      </c>
      <c r="K202" s="24">
        <v>0.60569627091339</v>
      </c>
      <c r="L202" s="16">
        <v>541.1673</v>
      </c>
      <c r="M202" s="24">
        <v>0.140910549312041</v>
      </c>
      <c r="N202" s="26">
        <v>11428</v>
      </c>
      <c r="O202" s="27" t="s">
        <v>58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65461</v>
      </c>
      <c r="AG202" s="33">
        <f t="shared" si="10"/>
        <v>0</v>
      </c>
      <c r="AH202" s="1">
        <v>24</v>
      </c>
      <c r="AI202" s="1">
        <v>220</v>
      </c>
      <c r="AJ202" s="1">
        <v>44</v>
      </c>
    </row>
    <row r="203" s="2" customFormat="1" spans="1:36">
      <c r="A203" s="2" t="str">
        <f>VLOOKUP(B203,'[1]2. ISIC行业分类'!$A$2:$B$102,2,FALSE)</f>
        <v>C2223</v>
      </c>
      <c r="B203" s="14" t="s">
        <v>96</v>
      </c>
      <c r="C203" s="15" t="s">
        <v>42</v>
      </c>
      <c r="D203" s="16">
        <v>79.56</v>
      </c>
      <c r="E203" s="16">
        <v>3130.7167</v>
      </c>
      <c r="F203" s="17">
        <f t="shared" si="11"/>
        <v>0.0254127114088605</v>
      </c>
      <c r="G203" s="16">
        <v>1785.03191</v>
      </c>
      <c r="H203" s="16">
        <v>3558.88451</v>
      </c>
      <c r="I203" s="24">
        <v>0.501570619946866</v>
      </c>
      <c r="J203" s="25">
        <v>2297.14623</v>
      </c>
      <c r="K203" s="24">
        <v>0.645468045828776</v>
      </c>
      <c r="L203" s="16">
        <v>606.93524</v>
      </c>
      <c r="M203" s="24">
        <v>0.170540864221525</v>
      </c>
      <c r="N203" s="26">
        <v>11351</v>
      </c>
      <c r="O203" s="27" t="s">
        <v>58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65248</v>
      </c>
      <c r="AG203" s="33">
        <f t="shared" si="10"/>
        <v>0</v>
      </c>
      <c r="AH203" s="1">
        <v>31</v>
      </c>
      <c r="AI203" s="1">
        <v>223</v>
      </c>
      <c r="AJ203" s="1">
        <v>33</v>
      </c>
    </row>
    <row r="204" s="2" customFormat="1" spans="1:36">
      <c r="A204" s="2" t="str">
        <f>VLOOKUP(B204,'[1]2. ISIC行业分类'!$A$2:$B$102,2,FALSE)</f>
        <v>C2223</v>
      </c>
      <c r="B204" s="14" t="s">
        <v>96</v>
      </c>
      <c r="C204" s="15" t="s">
        <v>43</v>
      </c>
      <c r="D204" s="16">
        <v>77.77</v>
      </c>
      <c r="E204" s="16">
        <v>3183.20272</v>
      </c>
      <c r="F204" s="17">
        <f t="shared" si="11"/>
        <v>0.0244313689201673</v>
      </c>
      <c r="G204" s="16">
        <v>1885.71901</v>
      </c>
      <c r="H204" s="16">
        <v>3846.50332</v>
      </c>
      <c r="I204" s="24">
        <v>0.490242397606978</v>
      </c>
      <c r="J204" s="25">
        <v>2457.95001</v>
      </c>
      <c r="K204" s="24">
        <v>0.639008940202865</v>
      </c>
      <c r="L204" s="16">
        <v>667.94701</v>
      </c>
      <c r="M204" s="24">
        <v>0.173650444164962</v>
      </c>
      <c r="N204" s="26">
        <v>11343</v>
      </c>
      <c r="O204" s="27" t="s">
        <v>58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65840</v>
      </c>
      <c r="AG204" s="33">
        <f t="shared" si="10"/>
        <v>0</v>
      </c>
      <c r="AH204" s="1">
        <v>56</v>
      </c>
      <c r="AI204" s="1">
        <v>721</v>
      </c>
      <c r="AJ204" s="1">
        <v>90</v>
      </c>
    </row>
    <row r="205" s="2" customFormat="1" spans="1:36">
      <c r="A205" s="2" t="str">
        <f>VLOOKUP(B205,'[1]2. ISIC行业分类'!$A$2:$B$102,2,FALSE)</f>
        <v>C2223</v>
      </c>
      <c r="B205" s="14" t="s">
        <v>96</v>
      </c>
      <c r="C205" s="15" t="s">
        <v>44</v>
      </c>
      <c r="D205" s="16">
        <v>80.25</v>
      </c>
      <c r="E205" s="16">
        <v>3375.07771</v>
      </c>
      <c r="F205" s="17">
        <f t="shared" si="11"/>
        <v>0.0237772303026469</v>
      </c>
      <c r="G205" s="16">
        <v>2067.25064</v>
      </c>
      <c r="H205" s="16">
        <v>4239.61571</v>
      </c>
      <c r="I205" s="24">
        <v>0.487603306857262</v>
      </c>
      <c r="J205" s="25">
        <v>2762.36225</v>
      </c>
      <c r="K205" s="24">
        <v>0.651559584394502</v>
      </c>
      <c r="L205" s="16">
        <v>725.96779</v>
      </c>
      <c r="M205" s="24">
        <v>0.171234338123537</v>
      </c>
      <c r="N205" s="26">
        <v>11291</v>
      </c>
      <c r="O205" s="27" t="s">
        <v>58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70813</v>
      </c>
      <c r="AG205" s="33">
        <f t="shared" si="10"/>
        <v>0</v>
      </c>
      <c r="AH205" s="1">
        <v>29</v>
      </c>
      <c r="AI205" s="1">
        <v>126</v>
      </c>
      <c r="AJ205" s="1">
        <v>19</v>
      </c>
    </row>
    <row r="206" s="2" customFormat="1" spans="1:36">
      <c r="A206" s="2" t="str">
        <f>VLOOKUP(B206,'[1]2. ISIC行业分类'!$A$2:$B$102,2,FALSE)</f>
        <v>C2223</v>
      </c>
      <c r="B206" s="14" t="s">
        <v>96</v>
      </c>
      <c r="C206" s="15" t="s">
        <v>45</v>
      </c>
      <c r="D206" s="16">
        <v>85.02</v>
      </c>
      <c r="E206" s="16">
        <v>3796.0312</v>
      </c>
      <c r="F206" s="17">
        <f t="shared" si="11"/>
        <v>0.0223970761884149</v>
      </c>
      <c r="G206" s="16">
        <v>1957.5257</v>
      </c>
      <c r="H206" s="16">
        <v>4137.95373</v>
      </c>
      <c r="I206" s="24">
        <v>0.473066116183953</v>
      </c>
      <c r="J206" s="25">
        <v>2696.43817</v>
      </c>
      <c r="K206" s="24">
        <v>0.651635650358033</v>
      </c>
      <c r="L206" s="16">
        <v>828.97292</v>
      </c>
      <c r="M206" s="24">
        <v>0.200334023551298</v>
      </c>
      <c r="N206" s="26">
        <v>11479</v>
      </c>
      <c r="O206" s="27" t="s">
        <v>58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115075</v>
      </c>
      <c r="AG206" s="33">
        <f t="shared" si="10"/>
        <v>0</v>
      </c>
      <c r="AH206" s="1">
        <v>10</v>
      </c>
      <c r="AI206" s="1">
        <v>34</v>
      </c>
      <c r="AJ206" s="1">
        <v>3</v>
      </c>
    </row>
    <row r="207" s="2" customFormat="1" spans="1:36">
      <c r="A207" s="2" t="str">
        <f>VLOOKUP(B207,'[1]2. ISIC行业分类'!$A$2:$B$102,2,FALSE)</f>
        <v>C2420</v>
      </c>
      <c r="B207" s="14" t="s">
        <v>97</v>
      </c>
      <c r="C207" s="15" t="s">
        <v>37</v>
      </c>
      <c r="D207" s="16">
        <v>115.858</v>
      </c>
      <c r="E207" s="16">
        <v>3843.52098</v>
      </c>
      <c r="F207" s="17">
        <f t="shared" si="11"/>
        <v>0.0301437147352322</v>
      </c>
      <c r="G207" s="16">
        <v>1897.60006</v>
      </c>
      <c r="H207" s="16">
        <v>3008.97962</v>
      </c>
      <c r="I207" s="24">
        <v>0.630645700418536</v>
      </c>
      <c r="J207" s="25">
        <v>2960.65877</v>
      </c>
      <c r="K207" s="24">
        <v>0.983941117553997</v>
      </c>
      <c r="L207" s="16">
        <v>185.22993</v>
      </c>
      <c r="M207" s="24">
        <v>0.0615590510380393</v>
      </c>
      <c r="N207" s="26">
        <v>14140</v>
      </c>
      <c r="O207" s="27" t="s">
        <v>98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37764</v>
      </c>
      <c r="AG207" s="33">
        <f t="shared" si="10"/>
        <v>0</v>
      </c>
      <c r="AH207" s="1">
        <v>8</v>
      </c>
      <c r="AI207" s="1">
        <v>118</v>
      </c>
      <c r="AJ207" s="1">
        <v>39</v>
      </c>
    </row>
    <row r="208" s="2" customFormat="1" spans="1:36">
      <c r="A208" s="2" t="str">
        <f>VLOOKUP(B208,'[1]2. ISIC行业分类'!$A$2:$B$102,2,FALSE)</f>
        <v>C2420</v>
      </c>
      <c r="B208" s="14" t="s">
        <v>97</v>
      </c>
      <c r="C208" s="15" t="s">
        <v>39</v>
      </c>
      <c r="D208" s="16">
        <v>109.2</v>
      </c>
      <c r="E208" s="16">
        <v>3654.57796</v>
      </c>
      <c r="F208" s="17">
        <f t="shared" si="11"/>
        <v>0.0298803312435015</v>
      </c>
      <c r="G208" s="16">
        <v>1950.63973</v>
      </c>
      <c r="H208" s="16">
        <v>3079.27408</v>
      </c>
      <c r="I208" s="24">
        <v>0.633473890053983</v>
      </c>
      <c r="J208" s="25">
        <v>2871.52545</v>
      </c>
      <c r="K208" s="24">
        <v>0.93253324497831</v>
      </c>
      <c r="L208" s="16">
        <v>187.7728</v>
      </c>
      <c r="M208" s="24">
        <v>0.0609795669763829</v>
      </c>
      <c r="N208" s="26">
        <v>14424</v>
      </c>
      <c r="O208" s="27" t="s">
        <v>98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36041</v>
      </c>
      <c r="AG208" s="33">
        <f t="shared" si="10"/>
        <v>0</v>
      </c>
      <c r="AH208" s="1">
        <v>11</v>
      </c>
      <c r="AI208" s="1">
        <v>153</v>
      </c>
      <c r="AJ208" s="1">
        <v>33</v>
      </c>
    </row>
    <row r="209" s="2" customFormat="1" spans="1:36">
      <c r="A209" s="2" t="str">
        <f>VLOOKUP(B209,'[1]2. ISIC行业分类'!$A$2:$B$102,2,FALSE)</f>
        <v>C2420</v>
      </c>
      <c r="B209" s="14" t="s">
        <v>97</v>
      </c>
      <c r="C209" s="15" t="s">
        <v>40</v>
      </c>
      <c r="D209" s="16">
        <v>107.59</v>
      </c>
      <c r="E209" s="16">
        <v>3701.58893</v>
      </c>
      <c r="F209" s="17">
        <f t="shared" si="11"/>
        <v>0.0290658963041582</v>
      </c>
      <c r="G209" s="16">
        <v>1970.89921</v>
      </c>
      <c r="H209" s="16">
        <v>3152.25738</v>
      </c>
      <c r="I209" s="24">
        <v>0.625234228177142</v>
      </c>
      <c r="J209" s="25">
        <v>2926.81486</v>
      </c>
      <c r="K209" s="24">
        <v>0.928482197732217</v>
      </c>
      <c r="L209" s="16">
        <v>212.64447</v>
      </c>
      <c r="M209" s="24">
        <v>0.0674578387377746</v>
      </c>
      <c r="N209" s="26">
        <v>14808</v>
      </c>
      <c r="O209" s="27" t="s">
        <v>98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90948</v>
      </c>
      <c r="AG209" s="33">
        <f t="shared" si="10"/>
        <v>0</v>
      </c>
      <c r="AH209" s="1">
        <v>6</v>
      </c>
      <c r="AI209" s="1">
        <v>85</v>
      </c>
      <c r="AJ209" s="1">
        <v>40</v>
      </c>
    </row>
    <row r="210" s="2" customFormat="1" spans="1:36">
      <c r="A210" s="2" t="str">
        <f>VLOOKUP(B210,'[1]2. ISIC行业分类'!$A$2:$B$102,2,FALSE)</f>
        <v>C2420</v>
      </c>
      <c r="B210" s="14" t="s">
        <v>97</v>
      </c>
      <c r="C210" s="15" t="s">
        <v>41</v>
      </c>
      <c r="D210" s="16">
        <v>114.24</v>
      </c>
      <c r="E210" s="16">
        <v>4276.80184</v>
      </c>
      <c r="F210" s="17">
        <f t="shared" si="11"/>
        <v>0.0267115485528317</v>
      </c>
      <c r="G210" s="16">
        <v>2299.49926</v>
      </c>
      <c r="H210" s="16">
        <v>3704.23576</v>
      </c>
      <c r="I210" s="24">
        <v>0.620775622553787</v>
      </c>
      <c r="J210" s="25">
        <v>3398.45674</v>
      </c>
      <c r="K210" s="24">
        <v>0.917451523117956</v>
      </c>
      <c r="L210" s="16">
        <v>258.57823</v>
      </c>
      <c r="M210" s="24">
        <v>0.0698060940915921</v>
      </c>
      <c r="N210" s="26">
        <v>15835</v>
      </c>
      <c r="O210" s="27" t="s">
        <v>98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3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6</v>
      </c>
      <c r="AF210" s="1">
        <v>58035</v>
      </c>
      <c r="AG210" s="33">
        <f t="shared" si="10"/>
        <v>0.000103385887826312</v>
      </c>
      <c r="AH210" s="1">
        <v>17</v>
      </c>
      <c r="AI210" s="1">
        <v>252</v>
      </c>
      <c r="AJ210" s="1">
        <v>38</v>
      </c>
    </row>
    <row r="211" s="2" customFormat="1" spans="1:36">
      <c r="A211" s="2" t="str">
        <f>VLOOKUP(B211,'[1]2. ISIC行业分类'!$A$2:$B$102,2,FALSE)</f>
        <v>C2420</v>
      </c>
      <c r="B211" s="14" t="s">
        <v>97</v>
      </c>
      <c r="C211" s="15" t="s">
        <v>42</v>
      </c>
      <c r="D211" s="16">
        <v>129.54</v>
      </c>
      <c r="E211" s="16">
        <v>4673.97049</v>
      </c>
      <c r="F211" s="17">
        <f t="shared" si="11"/>
        <v>0.0277151942394912</v>
      </c>
      <c r="G211" s="16">
        <v>2048.86378</v>
      </c>
      <c r="H211" s="16">
        <v>3500.14228</v>
      </c>
      <c r="I211" s="24">
        <v>0.58536585547031</v>
      </c>
      <c r="J211" s="25">
        <v>2644.41644</v>
      </c>
      <c r="K211" s="24">
        <v>0.7555168414468</v>
      </c>
      <c r="L211" s="16">
        <v>285.58072</v>
      </c>
      <c r="M211" s="24">
        <v>0.0815911746307639</v>
      </c>
      <c r="N211" s="26">
        <v>15027</v>
      </c>
      <c r="O211" s="27" t="s">
        <v>98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37786</v>
      </c>
      <c r="AG211" s="33">
        <f t="shared" si="10"/>
        <v>0</v>
      </c>
      <c r="AH211" s="1">
        <v>16</v>
      </c>
      <c r="AI211" s="1">
        <v>205</v>
      </c>
      <c r="AJ211" s="1">
        <v>38</v>
      </c>
    </row>
    <row r="212" s="2" customFormat="1" spans="1:36">
      <c r="A212" s="2" t="str">
        <f>VLOOKUP(B212,'[1]2. ISIC行业分类'!$A$2:$B$102,2,FALSE)</f>
        <v>C2420</v>
      </c>
      <c r="B212" s="14" t="s">
        <v>97</v>
      </c>
      <c r="C212" s="15" t="s">
        <v>43</v>
      </c>
      <c r="D212" s="16">
        <v>128.27</v>
      </c>
      <c r="E212" s="16">
        <v>3863.74666</v>
      </c>
      <c r="F212" s="17">
        <f t="shared" si="11"/>
        <v>0.0331983463946883</v>
      </c>
      <c r="G212" s="16">
        <v>1968.01206</v>
      </c>
      <c r="H212" s="16">
        <v>3452.79766</v>
      </c>
      <c r="I212" s="24">
        <v>0.569976075574611</v>
      </c>
      <c r="J212" s="25">
        <v>2694.91683</v>
      </c>
      <c r="K212" s="24">
        <v>0.780502391211653</v>
      </c>
      <c r="L212" s="16">
        <v>178.62859</v>
      </c>
      <c r="M212" s="24">
        <v>0.0517344506078007</v>
      </c>
      <c r="N212" s="26">
        <v>14678</v>
      </c>
      <c r="O212" s="27" t="s">
        <v>98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38910</v>
      </c>
      <c r="AG212" s="33">
        <f t="shared" si="10"/>
        <v>0</v>
      </c>
      <c r="AH212" s="1">
        <v>8</v>
      </c>
      <c r="AI212" s="1">
        <v>111</v>
      </c>
      <c r="AJ212" s="1">
        <v>10</v>
      </c>
    </row>
    <row r="213" s="2" customFormat="1" spans="1:36">
      <c r="A213" s="2" t="str">
        <f>VLOOKUP(B213,'[1]2. ISIC行业分类'!$A$2:$B$102,2,FALSE)</f>
        <v>C2420</v>
      </c>
      <c r="B213" s="14" t="s">
        <v>97</v>
      </c>
      <c r="C213" s="15" t="s">
        <v>44</v>
      </c>
      <c r="D213" s="16">
        <v>119.84</v>
      </c>
      <c r="E213" s="16">
        <v>3617.97118</v>
      </c>
      <c r="F213" s="17">
        <f t="shared" si="11"/>
        <v>0.0331235363793031</v>
      </c>
      <c r="G213" s="16">
        <v>2323.82029</v>
      </c>
      <c r="H213" s="16">
        <v>3893.7553</v>
      </c>
      <c r="I213" s="24">
        <v>0.596806966786023</v>
      </c>
      <c r="J213" s="25">
        <v>2951.11613</v>
      </c>
      <c r="K213" s="24">
        <v>0.75791001298926</v>
      </c>
      <c r="L213" s="16">
        <v>131.11048</v>
      </c>
      <c r="M213" s="24">
        <v>0.0336719875540201</v>
      </c>
      <c r="N213" s="26">
        <v>14118</v>
      </c>
      <c r="O213" s="27" t="s">
        <v>98</v>
      </c>
      <c r="P213" s="1">
        <v>3</v>
      </c>
      <c r="Q213" s="1">
        <v>0</v>
      </c>
      <c r="R213" s="1">
        <v>0</v>
      </c>
      <c r="S213" s="1">
        <v>2</v>
      </c>
      <c r="T213" s="1">
        <v>0</v>
      </c>
      <c r="U213" s="1">
        <v>1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12</v>
      </c>
      <c r="AF213" s="1">
        <v>43710</v>
      </c>
      <c r="AG213" s="33">
        <f t="shared" si="10"/>
        <v>0.000274536719286205</v>
      </c>
      <c r="AH213" s="1">
        <v>2</v>
      </c>
      <c r="AI213" s="1">
        <v>18</v>
      </c>
      <c r="AJ213" s="1">
        <v>2</v>
      </c>
    </row>
    <row r="214" s="2" customFormat="1" spans="1:36">
      <c r="A214" s="2" t="str">
        <f>VLOOKUP(B214,'[1]2. ISIC行业分类'!$A$2:$B$102,2,FALSE)</f>
        <v>C2420</v>
      </c>
      <c r="B214" s="14" t="s">
        <v>97</v>
      </c>
      <c r="C214" s="15" t="s">
        <v>45</v>
      </c>
      <c r="D214" s="16">
        <v>123.17</v>
      </c>
      <c r="E214" s="16">
        <v>4107.01945</v>
      </c>
      <c r="F214" s="17">
        <f t="shared" si="11"/>
        <v>0.0299901185030911</v>
      </c>
      <c r="G214" s="16">
        <v>2491.19689</v>
      </c>
      <c r="H214" s="16">
        <v>4132.24954</v>
      </c>
      <c r="I214" s="24">
        <v>0.602867001589648</v>
      </c>
      <c r="J214" s="25">
        <v>2904.75094</v>
      </c>
      <c r="K214" s="24">
        <v>0.702946642472129</v>
      </c>
      <c r="L214" s="16">
        <v>234.74951</v>
      </c>
      <c r="M214" s="24">
        <v>0.0568091321028981</v>
      </c>
      <c r="N214" s="26">
        <v>15111</v>
      </c>
      <c r="O214" s="27" t="s">
        <v>98</v>
      </c>
      <c r="P214" s="1">
        <v>1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4</v>
      </c>
      <c r="AF214" s="1">
        <v>41624</v>
      </c>
      <c r="AG214" s="33">
        <f t="shared" si="10"/>
        <v>9.60984047664809e-5</v>
      </c>
      <c r="AH214" s="1">
        <v>2</v>
      </c>
      <c r="AI214" s="1">
        <v>21</v>
      </c>
      <c r="AJ214" s="1">
        <v>0</v>
      </c>
    </row>
    <row r="215" s="2" customFormat="1" spans="1:36">
      <c r="A215" s="2" t="str">
        <f>VLOOKUP(B215,'[1]2. ISIC行业分类'!$A$2:$B$102,2,FALSE)</f>
        <v>C2021</v>
      </c>
      <c r="B215" s="14" t="s">
        <v>99</v>
      </c>
      <c r="C215" s="15" t="s">
        <v>37</v>
      </c>
      <c r="D215" s="16">
        <v>407.70718</v>
      </c>
      <c r="E215" s="16">
        <v>4433.43803</v>
      </c>
      <c r="F215" s="17">
        <f t="shared" si="11"/>
        <v>0.0919618538121305</v>
      </c>
      <c r="G215" s="16">
        <v>3079.44753</v>
      </c>
      <c r="H215" s="16">
        <v>6515.26133</v>
      </c>
      <c r="I215" s="24">
        <v>0.472651421642975</v>
      </c>
      <c r="J215" s="25">
        <v>2987.83925</v>
      </c>
      <c r="K215" s="24">
        <v>0.458590852870671</v>
      </c>
      <c r="L215" s="16">
        <v>566.76331</v>
      </c>
      <c r="M215" s="24">
        <v>0.0869901115693237</v>
      </c>
      <c r="N215" s="26">
        <v>9704</v>
      </c>
      <c r="O215" s="27" t="s">
        <v>100</v>
      </c>
      <c r="AH215" s="1">
        <v>9</v>
      </c>
      <c r="AI215" s="1">
        <v>170</v>
      </c>
      <c r="AJ215" s="1">
        <v>115</v>
      </c>
    </row>
    <row r="216" s="2" customFormat="1" spans="1:36">
      <c r="A216" s="2" t="str">
        <f>VLOOKUP(B216,'[1]2. ISIC行业分类'!$A$2:$B$102,2,FALSE)</f>
        <v>C2021</v>
      </c>
      <c r="B216" s="14" t="s">
        <v>99</v>
      </c>
      <c r="C216" s="15" t="s">
        <v>39</v>
      </c>
      <c r="D216" s="16">
        <v>365.55768</v>
      </c>
      <c r="E216" s="16">
        <v>4390.68727</v>
      </c>
      <c r="F216" s="17">
        <f t="shared" si="11"/>
        <v>0.0832575078844092</v>
      </c>
      <c r="G216" s="16">
        <v>2863.53512</v>
      </c>
      <c r="H216" s="16">
        <v>6274.40796</v>
      </c>
      <c r="I216" s="24">
        <v>0.45638331747877</v>
      </c>
      <c r="J216" s="25">
        <v>2909.47953</v>
      </c>
      <c r="K216" s="24">
        <v>0.463705826676913</v>
      </c>
      <c r="L216" s="16">
        <v>624.24466</v>
      </c>
      <c r="M216" s="24">
        <v>0.0994906075568602</v>
      </c>
      <c r="N216" s="26">
        <v>9907</v>
      </c>
      <c r="O216" s="27" t="s">
        <v>100</v>
      </c>
      <c r="P216" s="1">
        <v>0</v>
      </c>
      <c r="Q216" s="1">
        <v>0</v>
      </c>
      <c r="R216" s="1">
        <v>0</v>
      </c>
      <c r="S216" s="1">
        <v>0</v>
      </c>
      <c r="T216" s="1">
        <v>1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2</v>
      </c>
      <c r="AF216" s="1">
        <v>51802</v>
      </c>
      <c r="AG216" s="33">
        <f t="shared" ref="AG216:AG245" si="12">AE216/AF216</f>
        <v>3.86085479325123e-5</v>
      </c>
      <c r="AH216" s="1">
        <v>6</v>
      </c>
      <c r="AI216" s="1">
        <v>74</v>
      </c>
      <c r="AJ216" s="1">
        <v>57</v>
      </c>
    </row>
    <row r="217" s="2" customFormat="1" spans="1:36">
      <c r="A217" s="2" t="str">
        <f>VLOOKUP(B217,'[1]2. ISIC行业分类'!$A$2:$B$102,2,FALSE)</f>
        <v>C2021</v>
      </c>
      <c r="B217" s="14" t="s">
        <v>99</v>
      </c>
      <c r="C217" s="15" t="s">
        <v>40</v>
      </c>
      <c r="D217" s="16">
        <v>393.78606</v>
      </c>
      <c r="E217" s="16">
        <v>4590.56095</v>
      </c>
      <c r="F217" s="17">
        <f t="shared" si="11"/>
        <v>0.0857816864407388</v>
      </c>
      <c r="G217" s="16">
        <v>3170.96222</v>
      </c>
      <c r="H217" s="16">
        <v>6412.80592</v>
      </c>
      <c r="I217" s="24">
        <v>0.494473442601862</v>
      </c>
      <c r="J217" s="25">
        <v>2899.24984</v>
      </c>
      <c r="K217" s="24">
        <v>0.452103162978617</v>
      </c>
      <c r="L217" s="16">
        <v>633.99555</v>
      </c>
      <c r="M217" s="24">
        <v>0.0988639852677781</v>
      </c>
      <c r="N217" s="26">
        <v>10476</v>
      </c>
      <c r="O217" s="27" t="s">
        <v>100</v>
      </c>
      <c r="P217" s="1">
        <v>0</v>
      </c>
      <c r="Q217" s="1">
        <v>0</v>
      </c>
      <c r="R217" s="1">
        <v>0</v>
      </c>
      <c r="S217" s="1">
        <v>0</v>
      </c>
      <c r="T217" s="1">
        <v>4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1</v>
      </c>
      <c r="AD217" s="1">
        <v>1</v>
      </c>
      <c r="AE217" s="1">
        <v>12</v>
      </c>
      <c r="AF217" s="1">
        <v>57012</v>
      </c>
      <c r="AG217" s="33">
        <f t="shared" si="12"/>
        <v>0.000210482003788676</v>
      </c>
      <c r="AH217" s="1">
        <v>11</v>
      </c>
      <c r="AI217" s="1">
        <v>176</v>
      </c>
      <c r="AJ217" s="1">
        <v>67</v>
      </c>
    </row>
    <row r="218" s="2" customFormat="1" spans="1:36">
      <c r="A218" s="2" t="str">
        <f>VLOOKUP(B218,'[1]2. ISIC行业分类'!$A$2:$B$102,2,FALSE)</f>
        <v>C2021</v>
      </c>
      <c r="B218" s="14" t="s">
        <v>99</v>
      </c>
      <c r="C218" s="15" t="s">
        <v>41</v>
      </c>
      <c r="D218" s="16">
        <v>435.06813</v>
      </c>
      <c r="E218" s="16">
        <v>5182.85175</v>
      </c>
      <c r="F218" s="17">
        <f t="shared" si="11"/>
        <v>0.0839437728466765</v>
      </c>
      <c r="G218" s="16">
        <v>3869.43852</v>
      </c>
      <c r="H218" s="16">
        <v>7499.79478</v>
      </c>
      <c r="I218" s="24">
        <v>0.515939253473813</v>
      </c>
      <c r="J218" s="25">
        <v>3213.758</v>
      </c>
      <c r="K218" s="24">
        <v>0.428512791919354</v>
      </c>
      <c r="L218" s="16">
        <v>738.79494</v>
      </c>
      <c r="M218" s="24">
        <v>0.0985086874603787</v>
      </c>
      <c r="N218" s="26">
        <v>11220</v>
      </c>
      <c r="O218" s="27" t="s">
        <v>100</v>
      </c>
      <c r="P218" s="1">
        <v>3</v>
      </c>
      <c r="Q218" s="1">
        <v>0</v>
      </c>
      <c r="R218" s="1">
        <v>0</v>
      </c>
      <c r="S218" s="1">
        <v>0</v>
      </c>
      <c r="T218" s="1">
        <v>2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1</v>
      </c>
      <c r="AD218" s="1">
        <v>0</v>
      </c>
      <c r="AE218" s="1">
        <v>16</v>
      </c>
      <c r="AF218" s="1">
        <v>54676</v>
      </c>
      <c r="AG218" s="33">
        <f t="shared" si="12"/>
        <v>0.000292632965103519</v>
      </c>
      <c r="AH218" s="1">
        <v>9</v>
      </c>
      <c r="AI218" s="1">
        <v>114</v>
      </c>
      <c r="AJ218" s="1">
        <v>23</v>
      </c>
    </row>
    <row r="219" s="2" customFormat="1" spans="1:36">
      <c r="A219" s="2" t="str">
        <f>VLOOKUP(B219,'[1]2. ISIC行业分类'!$A$2:$B$102,2,FALSE)</f>
        <v>C2021</v>
      </c>
      <c r="B219" s="14" t="s">
        <v>99</v>
      </c>
      <c r="C219" s="15" t="s">
        <v>42</v>
      </c>
      <c r="D219" s="16">
        <v>484.7758</v>
      </c>
      <c r="E219" s="16">
        <v>5617.09826</v>
      </c>
      <c r="F219" s="17">
        <f t="shared" si="11"/>
        <v>0.0863035997522322</v>
      </c>
      <c r="G219" s="16">
        <v>5635.39168</v>
      </c>
      <c r="H219" s="16">
        <v>9428.22879</v>
      </c>
      <c r="I219" s="24">
        <v>0.597714778196425</v>
      </c>
      <c r="J219" s="25">
        <v>3451.35981</v>
      </c>
      <c r="K219" s="24">
        <v>0.366066616209045</v>
      </c>
      <c r="L219" s="16">
        <v>673.80788</v>
      </c>
      <c r="M219" s="24">
        <v>0.0714670692669943</v>
      </c>
      <c r="N219" s="26">
        <v>13598</v>
      </c>
      <c r="O219" s="27" t="s">
        <v>100</v>
      </c>
      <c r="P219" s="1">
        <v>6</v>
      </c>
      <c r="Q219" s="1">
        <v>0</v>
      </c>
      <c r="R219" s="1">
        <v>0</v>
      </c>
      <c r="S219" s="1">
        <v>0</v>
      </c>
      <c r="T219" s="1">
        <v>5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30</v>
      </c>
      <c r="AF219" s="1">
        <v>65417</v>
      </c>
      <c r="AG219" s="33">
        <f t="shared" si="12"/>
        <v>0.000458596389317761</v>
      </c>
      <c r="AH219" s="1">
        <v>7</v>
      </c>
      <c r="AI219" s="1">
        <v>52</v>
      </c>
      <c r="AJ219" s="1">
        <v>7</v>
      </c>
    </row>
    <row r="220" s="2" customFormat="1" spans="1:36">
      <c r="A220" s="2" t="str">
        <f>VLOOKUP(B220,'[1]2. ISIC行业分类'!$A$2:$B$102,2,FALSE)</f>
        <v>C2021</v>
      </c>
      <c r="B220" s="14" t="s">
        <v>99</v>
      </c>
      <c r="C220" s="15" t="s">
        <v>43</v>
      </c>
      <c r="D220" s="16">
        <v>545.17858</v>
      </c>
      <c r="E220" s="16">
        <v>6404.81575</v>
      </c>
      <c r="F220" s="17">
        <f t="shared" si="11"/>
        <v>0.0851201035720661</v>
      </c>
      <c r="G220" s="16">
        <v>6956.18954</v>
      </c>
      <c r="H220" s="16">
        <v>10734.23577</v>
      </c>
      <c r="I220" s="24">
        <v>0.648037707485533</v>
      </c>
      <c r="J220" s="25">
        <v>4254.04496</v>
      </c>
      <c r="K220" s="24">
        <v>0.396306271927545</v>
      </c>
      <c r="L220" s="16">
        <v>724.8397</v>
      </c>
      <c r="M220" s="24">
        <v>0.0675259716230362</v>
      </c>
      <c r="N220" s="26">
        <v>14969</v>
      </c>
      <c r="O220" s="27" t="s">
        <v>100</v>
      </c>
      <c r="P220" s="1">
        <v>3</v>
      </c>
      <c r="Q220" s="1">
        <v>0</v>
      </c>
      <c r="R220" s="1">
        <v>0</v>
      </c>
      <c r="S220" s="1">
        <v>4</v>
      </c>
      <c r="T220" s="1">
        <v>2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16</v>
      </c>
      <c r="AF220" s="1">
        <v>25030</v>
      </c>
      <c r="AG220" s="33">
        <f t="shared" si="12"/>
        <v>0.000639232920495405</v>
      </c>
      <c r="AH220" s="1">
        <v>11</v>
      </c>
      <c r="AI220" s="1">
        <v>86</v>
      </c>
      <c r="AJ220" s="1">
        <v>9</v>
      </c>
    </row>
    <row r="221" s="2" customFormat="1" spans="1:36">
      <c r="A221" s="2" t="str">
        <f>VLOOKUP(B221,'[1]2. ISIC行业分类'!$A$2:$B$102,2,FALSE)</f>
        <v>C2021</v>
      </c>
      <c r="B221" s="14" t="s">
        <v>99</v>
      </c>
      <c r="C221" s="15" t="s">
        <v>44</v>
      </c>
      <c r="D221" s="16">
        <v>605.82085</v>
      </c>
      <c r="E221" s="16">
        <v>7145.52133</v>
      </c>
      <c r="F221" s="17">
        <f t="shared" si="11"/>
        <v>0.0847832960006013</v>
      </c>
      <c r="G221" s="16">
        <v>8081.37892</v>
      </c>
      <c r="H221" s="16">
        <v>12046.34077</v>
      </c>
      <c r="I221" s="24">
        <v>0.670857571962909</v>
      </c>
      <c r="J221" s="25">
        <v>4669.11557</v>
      </c>
      <c r="K221" s="24">
        <v>0.387596172078071</v>
      </c>
      <c r="L221" s="16">
        <v>839.78525</v>
      </c>
      <c r="M221" s="24">
        <v>0.0697128917431414</v>
      </c>
      <c r="N221" s="26">
        <v>15852</v>
      </c>
      <c r="O221" s="27" t="s">
        <v>100</v>
      </c>
      <c r="P221" s="1">
        <v>2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4</v>
      </c>
      <c r="AF221" s="1">
        <v>32711</v>
      </c>
      <c r="AG221" s="33">
        <f t="shared" si="12"/>
        <v>0.000122283024059185</v>
      </c>
      <c r="AH221" s="1">
        <v>3</v>
      </c>
      <c r="AI221" s="1">
        <v>14</v>
      </c>
      <c r="AJ221" s="1">
        <v>8</v>
      </c>
    </row>
    <row r="222" s="2" customFormat="1" spans="1:36">
      <c r="A222" s="2" t="str">
        <f>VLOOKUP(B222,'[1]2. ISIC行业分类'!$A$2:$B$102,2,FALSE)</f>
        <v>C2021</v>
      </c>
      <c r="B222" s="14" t="s">
        <v>99</v>
      </c>
      <c r="C222" s="15" t="s">
        <v>45</v>
      </c>
      <c r="D222" s="16">
        <v>616.4917</v>
      </c>
      <c r="E222" s="16">
        <v>7332.0828</v>
      </c>
      <c r="F222" s="17">
        <f t="shared" si="11"/>
        <v>0.0840813881698117</v>
      </c>
      <c r="G222" s="16">
        <v>8219.5237</v>
      </c>
      <c r="H222" s="16">
        <v>12542.64433</v>
      </c>
      <c r="I222" s="24">
        <v>0.655326220192676</v>
      </c>
      <c r="J222" s="25">
        <v>4769.58348</v>
      </c>
      <c r="K222" s="24">
        <v>0.380269371793627</v>
      </c>
      <c r="L222" s="16">
        <v>900.60443</v>
      </c>
      <c r="M222" s="24">
        <v>0.0718033937904066</v>
      </c>
      <c r="N222" s="26">
        <v>16842</v>
      </c>
      <c r="O222" s="27" t="s">
        <v>100</v>
      </c>
      <c r="P222" s="1">
        <v>3</v>
      </c>
      <c r="Q222" s="1">
        <v>0</v>
      </c>
      <c r="R222" s="1">
        <v>0</v>
      </c>
      <c r="S222" s="1">
        <v>6</v>
      </c>
      <c r="T222" s="1">
        <v>0</v>
      </c>
      <c r="U222" s="1">
        <v>1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14</v>
      </c>
      <c r="AF222" s="1">
        <v>40713</v>
      </c>
      <c r="AG222" s="33">
        <f t="shared" si="12"/>
        <v>0.000343870508191487</v>
      </c>
      <c r="AH222" s="1">
        <v>4</v>
      </c>
      <c r="AI222" s="1">
        <v>6</v>
      </c>
      <c r="AJ222" s="1">
        <v>2</v>
      </c>
    </row>
    <row r="223" s="2" customFormat="1" spans="1:36">
      <c r="A223" s="2" t="str">
        <f>VLOOKUP(B223,'[1]2. ISIC行业分类'!$A$2:$B$102,2,FALSE)</f>
        <v>C2021</v>
      </c>
      <c r="B223" s="14" t="s">
        <v>99</v>
      </c>
      <c r="C223" s="15" t="s">
        <v>48</v>
      </c>
      <c r="D223" s="16">
        <v>564.52572</v>
      </c>
      <c r="E223" s="16">
        <v>7696.79994</v>
      </c>
      <c r="F223" s="17">
        <f t="shared" si="11"/>
        <v>0.0733455103940249</v>
      </c>
      <c r="G223" s="16">
        <v>7864.42731</v>
      </c>
      <c r="H223" s="16">
        <v>12446.60258</v>
      </c>
      <c r="I223" s="24">
        <v>0.631853331819003</v>
      </c>
      <c r="J223" s="25">
        <v>4874.17133</v>
      </c>
      <c r="K223" s="24">
        <v>0.391606568834465</v>
      </c>
      <c r="L223" s="16">
        <v>925.73567</v>
      </c>
      <c r="M223" s="24">
        <v>0.0743765749769766</v>
      </c>
      <c r="N223" s="26">
        <v>16676</v>
      </c>
      <c r="O223" s="27" t="s">
        <v>100</v>
      </c>
      <c r="P223" s="1">
        <v>6</v>
      </c>
      <c r="Q223" s="1">
        <v>0</v>
      </c>
      <c r="R223" s="1">
        <v>0</v>
      </c>
      <c r="S223" s="1">
        <v>9</v>
      </c>
      <c r="T223" s="1">
        <v>4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31</v>
      </c>
      <c r="AF223" s="1">
        <v>38384</v>
      </c>
      <c r="AG223" s="33">
        <f t="shared" si="12"/>
        <v>0.00080762817840767</v>
      </c>
      <c r="AH223" s="1">
        <v>4</v>
      </c>
      <c r="AI223" s="1">
        <v>10</v>
      </c>
      <c r="AJ223" s="1">
        <v>0</v>
      </c>
    </row>
    <row r="224" s="2" customFormat="1" spans="1:36">
      <c r="A224" s="2" t="str">
        <f>VLOOKUP(B224,'[1]2. ISIC行业分类'!$A$2:$B$102,2,FALSE)</f>
        <v>C2211</v>
      </c>
      <c r="B224" s="14" t="s">
        <v>101</v>
      </c>
      <c r="C224" s="15" t="s">
        <v>37</v>
      </c>
      <c r="D224" s="16">
        <v>0</v>
      </c>
      <c r="E224" s="16">
        <v>18138</v>
      </c>
      <c r="F224" s="17">
        <f t="shared" si="11"/>
        <v>0</v>
      </c>
      <c r="G224" s="16">
        <v>13617</v>
      </c>
      <c r="H224" s="16">
        <v>18044</v>
      </c>
      <c r="I224" s="24">
        <v>0.754655287076036</v>
      </c>
      <c r="J224" s="25">
        <v>16182</v>
      </c>
      <c r="K224" s="24">
        <v>0.896807803147861</v>
      </c>
      <c r="L224" s="16">
        <v>2452</v>
      </c>
      <c r="M224" s="24">
        <v>0.135890046552871</v>
      </c>
      <c r="N224" s="26">
        <v>67000</v>
      </c>
      <c r="O224" s="27" t="s">
        <v>66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42916</v>
      </c>
      <c r="AG224" s="33">
        <f t="shared" si="12"/>
        <v>0</v>
      </c>
      <c r="AH224" s="1">
        <v>50</v>
      </c>
      <c r="AI224" s="1">
        <v>1030</v>
      </c>
      <c r="AJ224" s="1">
        <v>677</v>
      </c>
    </row>
    <row r="225" s="2" customFormat="1" spans="1:36">
      <c r="A225" s="2" t="str">
        <f>VLOOKUP(B225,'[1]2. ISIC行业分类'!$A$2:$B$102,2,FALSE)</f>
        <v>C2211</v>
      </c>
      <c r="B225" s="14" t="s">
        <v>101</v>
      </c>
      <c r="C225" s="15" t="s">
        <v>39</v>
      </c>
      <c r="D225" s="16">
        <v>0</v>
      </c>
      <c r="E225" s="16">
        <v>16443</v>
      </c>
      <c r="F225" s="17">
        <f t="shared" si="11"/>
        <v>0</v>
      </c>
      <c r="G225" s="16">
        <v>12249</v>
      </c>
      <c r="H225" s="16">
        <v>16391</v>
      </c>
      <c r="I225" s="24">
        <v>0.747300347751815</v>
      </c>
      <c r="J225" s="25">
        <v>15414</v>
      </c>
      <c r="K225" s="24">
        <v>0.94039411872369</v>
      </c>
      <c r="L225" s="16">
        <v>307</v>
      </c>
      <c r="M225" s="24">
        <v>0.0187297907388201</v>
      </c>
      <c r="N225" s="26">
        <v>66000</v>
      </c>
      <c r="O225" s="27" t="s">
        <v>66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43700</v>
      </c>
      <c r="AG225" s="33">
        <f t="shared" si="12"/>
        <v>0</v>
      </c>
      <c r="AH225" s="1">
        <v>56</v>
      </c>
      <c r="AI225" s="1">
        <v>1351</v>
      </c>
      <c r="AJ225" s="1">
        <v>638</v>
      </c>
    </row>
    <row r="226" s="2" customFormat="1" spans="1:36">
      <c r="A226" s="2" t="str">
        <f>VLOOKUP(B226,'[1]2. ISIC行业分类'!$A$2:$B$102,2,FALSE)</f>
        <v>C2211</v>
      </c>
      <c r="B226" s="14" t="s">
        <v>101</v>
      </c>
      <c r="C226" s="15" t="s">
        <v>40</v>
      </c>
      <c r="D226" s="16">
        <v>0</v>
      </c>
      <c r="E226" s="16">
        <v>15158</v>
      </c>
      <c r="F226" s="17">
        <f t="shared" si="11"/>
        <v>0</v>
      </c>
      <c r="G226" s="16">
        <v>11786</v>
      </c>
      <c r="H226" s="16">
        <v>16511</v>
      </c>
      <c r="I226" s="24">
        <v>0.713827145539337</v>
      </c>
      <c r="J226" s="25">
        <v>16165</v>
      </c>
      <c r="K226" s="24">
        <v>0.979044273514627</v>
      </c>
      <c r="L226" s="16">
        <v>1264</v>
      </c>
      <c r="M226" s="24">
        <v>0.076555023923445</v>
      </c>
      <c r="N226" s="26">
        <v>66000</v>
      </c>
      <c r="O226" s="27" t="s">
        <v>66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40268</v>
      </c>
      <c r="AG226" s="33">
        <f t="shared" si="12"/>
        <v>0</v>
      </c>
      <c r="AH226" s="1">
        <v>44</v>
      </c>
      <c r="AI226" s="1">
        <v>922</v>
      </c>
      <c r="AJ226" s="1">
        <v>440</v>
      </c>
    </row>
    <row r="227" s="2" customFormat="1" spans="1:36">
      <c r="A227" s="2" t="str">
        <f>VLOOKUP(B227,'[1]2. ISIC行业分类'!$A$2:$B$102,2,FALSE)</f>
        <v>C2211</v>
      </c>
      <c r="B227" s="14" t="s">
        <v>101</v>
      </c>
      <c r="C227" s="15" t="s">
        <v>41</v>
      </c>
      <c r="D227" s="16">
        <v>0</v>
      </c>
      <c r="E227" s="16">
        <v>15377</v>
      </c>
      <c r="F227" s="17">
        <f t="shared" si="11"/>
        <v>0</v>
      </c>
      <c r="G227" s="16">
        <v>12214</v>
      </c>
      <c r="H227" s="16">
        <v>17064</v>
      </c>
      <c r="I227" s="24">
        <v>0.715775902484763</v>
      </c>
      <c r="J227" s="25">
        <v>17529</v>
      </c>
      <c r="K227" s="24">
        <v>1.02725035161744</v>
      </c>
      <c r="L227" s="16">
        <v>346</v>
      </c>
      <c r="M227" s="24">
        <v>0.0202766057196437</v>
      </c>
      <c r="N227" s="26">
        <v>64000</v>
      </c>
      <c r="O227" s="27" t="s">
        <v>66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1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2</v>
      </c>
      <c r="AF227" s="1">
        <v>40843</v>
      </c>
      <c r="AG227" s="33">
        <f t="shared" si="12"/>
        <v>4.8967999412384e-5</v>
      </c>
      <c r="AH227" s="1">
        <v>44</v>
      </c>
      <c r="AI227" s="1">
        <v>971</v>
      </c>
      <c r="AJ227" s="1">
        <v>281</v>
      </c>
    </row>
    <row r="228" s="2" customFormat="1" spans="1:36">
      <c r="A228" s="2" t="str">
        <f>VLOOKUP(B228,'[1]2. ISIC行业分类'!$A$2:$B$102,2,FALSE)</f>
        <v>C2211</v>
      </c>
      <c r="B228" s="14" t="s">
        <v>101</v>
      </c>
      <c r="C228" s="15" t="s">
        <v>42</v>
      </c>
      <c r="D228" s="16">
        <v>0</v>
      </c>
      <c r="E228" s="16">
        <v>15475</v>
      </c>
      <c r="F228" s="17">
        <f t="shared" si="11"/>
        <v>0</v>
      </c>
      <c r="G228" s="16">
        <v>11802</v>
      </c>
      <c r="H228" s="16">
        <v>16872</v>
      </c>
      <c r="I228" s="24">
        <v>0.69950213371266</v>
      </c>
      <c r="J228" s="25">
        <v>17420</v>
      </c>
      <c r="K228" s="24">
        <v>1.03247984826932</v>
      </c>
      <c r="L228" s="16">
        <v>693</v>
      </c>
      <c r="M228" s="24">
        <v>0.0410739687055477</v>
      </c>
      <c r="N228" s="26">
        <v>64000</v>
      </c>
      <c r="O228" s="27" t="s">
        <v>66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38677</v>
      </c>
      <c r="AG228" s="33">
        <f t="shared" si="12"/>
        <v>0</v>
      </c>
      <c r="AH228" s="1">
        <v>40</v>
      </c>
      <c r="AI228" s="1">
        <v>750</v>
      </c>
      <c r="AJ228" s="1">
        <v>276</v>
      </c>
    </row>
    <row r="229" s="2" customFormat="1" spans="1:36">
      <c r="A229" s="2" t="str">
        <f>VLOOKUP(B229,'[1]2. ISIC行业分类'!$A$2:$B$102,2,FALSE)</f>
        <v>C2211</v>
      </c>
      <c r="B229" s="14" t="s">
        <v>101</v>
      </c>
      <c r="C229" s="15" t="s">
        <v>43</v>
      </c>
      <c r="D229" s="16">
        <v>0</v>
      </c>
      <c r="E229" s="16">
        <v>14745</v>
      </c>
      <c r="F229" s="17">
        <f t="shared" si="11"/>
        <v>0</v>
      </c>
      <c r="G229" s="16">
        <v>12640</v>
      </c>
      <c r="H229" s="16">
        <v>17185</v>
      </c>
      <c r="I229" s="24">
        <v>0.735525167297061</v>
      </c>
      <c r="J229" s="25">
        <v>18551</v>
      </c>
      <c r="K229" s="24">
        <v>1.07948792551644</v>
      </c>
      <c r="L229" s="16">
        <v>-311</v>
      </c>
      <c r="M229" s="24">
        <v>-0.0180971777713122</v>
      </c>
      <c r="N229" s="26">
        <v>63000</v>
      </c>
      <c r="O229" s="27" t="s">
        <v>66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37823</v>
      </c>
      <c r="AG229" s="33">
        <f t="shared" si="12"/>
        <v>0</v>
      </c>
      <c r="AH229" s="1">
        <v>41</v>
      </c>
      <c r="AI229" s="1">
        <v>952</v>
      </c>
      <c r="AJ229" s="1">
        <v>120</v>
      </c>
    </row>
    <row r="230" s="2" customFormat="1" spans="1:36">
      <c r="A230" s="2" t="str">
        <f>VLOOKUP(B230,'[1]2. ISIC行业分类'!$A$2:$B$102,2,FALSE)</f>
        <v>C2211</v>
      </c>
      <c r="B230" s="14" t="s">
        <v>101</v>
      </c>
      <c r="C230" s="15" t="s">
        <v>44</v>
      </c>
      <c r="D230" s="16">
        <v>0</v>
      </c>
      <c r="E230" s="16">
        <v>12321</v>
      </c>
      <c r="F230" s="17">
        <f t="shared" si="11"/>
        <v>0</v>
      </c>
      <c r="G230" s="16">
        <v>13247</v>
      </c>
      <c r="H230" s="16">
        <v>16506</v>
      </c>
      <c r="I230" s="24">
        <v>0.802556646068096</v>
      </c>
      <c r="J230" s="25">
        <v>18915</v>
      </c>
      <c r="K230" s="24">
        <v>1.14594692838968</v>
      </c>
      <c r="L230" s="16">
        <v>-1254</v>
      </c>
      <c r="M230" s="24">
        <v>-0.0759723736822974</v>
      </c>
      <c r="N230" s="26">
        <v>62000</v>
      </c>
      <c r="O230" s="27" t="s">
        <v>66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1</v>
      </c>
      <c r="AD230" s="1">
        <v>0</v>
      </c>
      <c r="AE230" s="1">
        <v>2</v>
      </c>
      <c r="AF230" s="1">
        <v>38367</v>
      </c>
      <c r="AG230" s="33">
        <f t="shared" si="12"/>
        <v>5.21281309458649e-5</v>
      </c>
      <c r="AH230" s="1">
        <v>60</v>
      </c>
      <c r="AI230" s="1">
        <v>1627</v>
      </c>
      <c r="AJ230" s="1">
        <v>108</v>
      </c>
    </row>
    <row r="231" s="2" customFormat="1" spans="1:36">
      <c r="A231" s="2" t="str">
        <f>VLOOKUP(B231,'[1]2. ISIC行业分类'!$A$2:$B$102,2,FALSE)</f>
        <v>C2211</v>
      </c>
      <c r="B231" s="14" t="s">
        <v>101</v>
      </c>
      <c r="C231" s="15" t="s">
        <v>45</v>
      </c>
      <c r="D231" s="16">
        <v>0</v>
      </c>
      <c r="E231" s="16">
        <v>17478</v>
      </c>
      <c r="F231" s="17">
        <f t="shared" si="11"/>
        <v>0</v>
      </c>
      <c r="G231" s="16">
        <v>16218</v>
      </c>
      <c r="H231" s="16">
        <v>21402</v>
      </c>
      <c r="I231" s="24">
        <v>0.757779646761985</v>
      </c>
      <c r="J231" s="25">
        <v>20456</v>
      </c>
      <c r="K231" s="24">
        <v>0.955798523502476</v>
      </c>
      <c r="L231" s="16">
        <v>764</v>
      </c>
      <c r="M231" s="24">
        <v>0.0356975983552939</v>
      </c>
      <c r="N231" s="26">
        <v>72000</v>
      </c>
      <c r="O231" s="27" t="s">
        <v>66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39470</v>
      </c>
      <c r="AG231" s="33">
        <f t="shared" si="12"/>
        <v>0</v>
      </c>
      <c r="AH231" s="1">
        <v>40</v>
      </c>
      <c r="AI231" s="1">
        <v>1091</v>
      </c>
      <c r="AJ231" s="1">
        <v>50</v>
      </c>
    </row>
    <row r="232" s="2" customFormat="1" spans="1:36">
      <c r="A232" s="2" t="str">
        <f>VLOOKUP(B232,'[1]2. ISIC行业分类'!$A$2:$B$102,2,FALSE)</f>
        <v>C2211</v>
      </c>
      <c r="B232" s="14" t="s">
        <v>101</v>
      </c>
      <c r="C232" s="15" t="s">
        <v>48</v>
      </c>
      <c r="D232" s="16">
        <v>0</v>
      </c>
      <c r="E232" s="16">
        <v>20805</v>
      </c>
      <c r="F232" s="17">
        <f t="shared" si="11"/>
        <v>0</v>
      </c>
      <c r="G232" s="16">
        <v>16965</v>
      </c>
      <c r="H232" s="16">
        <v>22431</v>
      </c>
      <c r="I232" s="24">
        <v>0.756319379430253</v>
      </c>
      <c r="J232" s="25">
        <v>20647</v>
      </c>
      <c r="K232" s="24">
        <v>0.920467210556819</v>
      </c>
      <c r="L232" s="16">
        <v>202</v>
      </c>
      <c r="M232" s="24">
        <v>0.00900539432036022</v>
      </c>
      <c r="N232" s="26">
        <v>74000</v>
      </c>
      <c r="O232" s="27" t="s">
        <v>66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40235</v>
      </c>
      <c r="AG232" s="33">
        <f t="shared" si="12"/>
        <v>0</v>
      </c>
      <c r="AH232" s="1">
        <v>11</v>
      </c>
      <c r="AI232" s="1">
        <v>157</v>
      </c>
      <c r="AJ232" s="1">
        <v>8</v>
      </c>
    </row>
    <row r="233" s="2" customFormat="1" spans="1:36">
      <c r="A233" s="2" t="str">
        <f>VLOOKUP(B233,'[1]2. ISIC行业分类'!$A$2:$B$102,2,FALSE)</f>
        <v>C2221</v>
      </c>
      <c r="B233" s="14" t="s">
        <v>102</v>
      </c>
      <c r="C233" s="15" t="s">
        <v>37</v>
      </c>
      <c r="D233" s="16">
        <v>0</v>
      </c>
      <c r="E233" s="16">
        <v>338.04361</v>
      </c>
      <c r="F233" s="17">
        <f t="shared" si="11"/>
        <v>0</v>
      </c>
      <c r="G233" s="16">
        <v>80.53676</v>
      </c>
      <c r="H233" s="16">
        <v>255.05456</v>
      </c>
      <c r="I233" s="24">
        <v>0.315762870501119</v>
      </c>
      <c r="J233" s="25">
        <v>191.54284</v>
      </c>
      <c r="K233" s="24">
        <v>0.75098771023737</v>
      </c>
      <c r="L233" s="16">
        <v>11.18024</v>
      </c>
      <c r="M233" s="24">
        <v>0.0438346995246821</v>
      </c>
      <c r="N233" s="26">
        <v>2135</v>
      </c>
      <c r="O233" s="27" t="s">
        <v>103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19650</v>
      </c>
      <c r="AG233" s="33">
        <f t="shared" si="12"/>
        <v>0</v>
      </c>
      <c r="AH233" s="1">
        <v>3</v>
      </c>
      <c r="AI233" s="1">
        <v>37</v>
      </c>
      <c r="AJ233" s="1">
        <v>15</v>
      </c>
    </row>
    <row r="234" s="2" customFormat="1" spans="1:36">
      <c r="A234" s="2" t="str">
        <f>VLOOKUP(B234,'[1]2. ISIC行业分类'!$A$2:$B$102,2,FALSE)</f>
        <v>C2221</v>
      </c>
      <c r="B234" s="14" t="s">
        <v>102</v>
      </c>
      <c r="C234" s="15" t="s">
        <v>39</v>
      </c>
      <c r="D234" s="16">
        <v>0</v>
      </c>
      <c r="E234" s="16">
        <v>358.97664</v>
      </c>
      <c r="F234" s="17">
        <f t="shared" si="11"/>
        <v>0</v>
      </c>
      <c r="G234" s="16">
        <v>71.66429</v>
      </c>
      <c r="H234" s="16">
        <v>250.92238</v>
      </c>
      <c r="I234" s="24">
        <v>0.285603420468114</v>
      </c>
      <c r="J234" s="25">
        <v>180.88014</v>
      </c>
      <c r="K234" s="24">
        <v>0.720860929184555</v>
      </c>
      <c r="L234" s="16">
        <v>22.54672</v>
      </c>
      <c r="M234" s="24">
        <v>0.0898553568637441</v>
      </c>
      <c r="N234" s="26">
        <v>2094</v>
      </c>
      <c r="O234" s="27" t="s">
        <v>103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20600</v>
      </c>
      <c r="AG234" s="33">
        <f t="shared" si="12"/>
        <v>0</v>
      </c>
      <c r="AH234" s="1">
        <v>1</v>
      </c>
      <c r="AI234" s="1">
        <v>13</v>
      </c>
      <c r="AJ234" s="1">
        <v>5</v>
      </c>
    </row>
    <row r="235" s="2" customFormat="1" spans="1:36">
      <c r="A235" s="2" t="str">
        <f>VLOOKUP(B235,'[1]2. ISIC行业分类'!$A$2:$B$102,2,FALSE)</f>
        <v>C2221</v>
      </c>
      <c r="B235" s="14" t="s">
        <v>102</v>
      </c>
      <c r="C235" s="15" t="s">
        <v>40</v>
      </c>
      <c r="D235" s="16">
        <v>6.82136</v>
      </c>
      <c r="E235" s="16">
        <v>346.51499</v>
      </c>
      <c r="F235" s="17">
        <f t="shared" si="11"/>
        <v>0.019685613023552</v>
      </c>
      <c r="G235" s="16">
        <v>57.4081</v>
      </c>
      <c r="H235" s="16">
        <v>245.247</v>
      </c>
      <c r="I235" s="24">
        <v>0.234082781848504</v>
      </c>
      <c r="J235" s="25">
        <v>175.11371</v>
      </c>
      <c r="K235" s="24">
        <v>0.714029977940607</v>
      </c>
      <c r="L235" s="16">
        <v>25.62563</v>
      </c>
      <c r="M235" s="24">
        <v>0.104489066125172</v>
      </c>
      <c r="N235" s="26">
        <v>2156</v>
      </c>
      <c r="O235" s="27" t="s">
        <v>103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22815</v>
      </c>
      <c r="AG235" s="33">
        <f t="shared" si="12"/>
        <v>0</v>
      </c>
      <c r="AH235" s="1">
        <v>2</v>
      </c>
      <c r="AI235" s="1">
        <v>35</v>
      </c>
      <c r="AJ235" s="1">
        <v>16</v>
      </c>
    </row>
    <row r="236" s="2" customFormat="1" spans="1:36">
      <c r="A236" s="2" t="str">
        <f>VLOOKUP(B236,'[1]2. ISIC行业分类'!$A$2:$B$102,2,FALSE)</f>
        <v>C2221</v>
      </c>
      <c r="B236" s="14" t="s">
        <v>102</v>
      </c>
      <c r="C236" s="15" t="s">
        <v>41</v>
      </c>
      <c r="D236" s="16">
        <v>6.74253</v>
      </c>
      <c r="E236" s="16">
        <v>348.86513</v>
      </c>
      <c r="F236" s="17">
        <f t="shared" si="11"/>
        <v>0.019327039076677</v>
      </c>
      <c r="G236" s="16">
        <v>85.97316</v>
      </c>
      <c r="H236" s="16">
        <v>297.49015</v>
      </c>
      <c r="I236" s="24">
        <v>0.288994980169932</v>
      </c>
      <c r="J236" s="25">
        <v>194.05681</v>
      </c>
      <c r="K236" s="24">
        <v>0.65231339592252</v>
      </c>
      <c r="L236" s="16">
        <v>25.58283</v>
      </c>
      <c r="M236" s="24">
        <v>0.0859955531300784</v>
      </c>
      <c r="N236" s="26">
        <v>2170</v>
      </c>
      <c r="O236" s="27" t="s">
        <v>103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23231</v>
      </c>
      <c r="AG236" s="33">
        <f t="shared" si="12"/>
        <v>0</v>
      </c>
      <c r="AH236" s="1">
        <v>1</v>
      </c>
      <c r="AI236" s="1">
        <v>9</v>
      </c>
      <c r="AJ236" s="1">
        <v>8</v>
      </c>
    </row>
    <row r="237" s="2" customFormat="1" spans="1:36">
      <c r="A237" s="2" t="str">
        <f>VLOOKUP(B237,'[1]2. ISIC行业分类'!$A$2:$B$102,2,FALSE)</f>
        <v>C2221</v>
      </c>
      <c r="B237" s="14" t="s">
        <v>102</v>
      </c>
      <c r="C237" s="15" t="s">
        <v>42</v>
      </c>
      <c r="D237" s="16">
        <v>6.68218</v>
      </c>
      <c r="E237" s="16">
        <v>417.30965</v>
      </c>
      <c r="F237" s="17">
        <f t="shared" si="11"/>
        <v>0.0160125221163709</v>
      </c>
      <c r="G237" s="16">
        <v>248.66153</v>
      </c>
      <c r="H237" s="16">
        <v>375.77137</v>
      </c>
      <c r="I237" s="24">
        <v>0.661736230729872</v>
      </c>
      <c r="J237" s="25">
        <v>203.55604</v>
      </c>
      <c r="K237" s="24">
        <v>0.541701833218427</v>
      </c>
      <c r="L237" s="16">
        <v>20.41648</v>
      </c>
      <c r="M237" s="24">
        <v>0.0543321860843204</v>
      </c>
      <c r="N237" s="26">
        <v>2829</v>
      </c>
      <c r="O237" s="27" t="s">
        <v>103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25009</v>
      </c>
      <c r="AG237" s="33">
        <f t="shared" si="12"/>
        <v>0</v>
      </c>
      <c r="AH237" s="1">
        <v>3</v>
      </c>
      <c r="AI237" s="1">
        <v>28</v>
      </c>
      <c r="AJ237" s="1">
        <v>7</v>
      </c>
    </row>
    <row r="238" s="2" customFormat="1" spans="1:36">
      <c r="A238" s="2" t="str">
        <f>VLOOKUP(B238,'[1]2. ISIC行业分类'!$A$2:$B$102,2,FALSE)</f>
        <v>C2221</v>
      </c>
      <c r="B238" s="18" t="s">
        <v>102</v>
      </c>
      <c r="C238" s="19">
        <v>2019</v>
      </c>
      <c r="D238" s="20">
        <v>7.58191</v>
      </c>
      <c r="E238" s="20">
        <v>576.51086</v>
      </c>
      <c r="F238" s="17">
        <f t="shared" si="11"/>
        <v>0.0131513741128831</v>
      </c>
      <c r="G238" s="20">
        <v>223.90113</v>
      </c>
      <c r="H238" s="20">
        <v>374.62442</v>
      </c>
      <c r="I238" s="28">
        <v>0.597668272666261</v>
      </c>
      <c r="J238" s="29">
        <v>213.09771</v>
      </c>
      <c r="K238" s="28">
        <v>0.568830270060879</v>
      </c>
      <c r="L238" s="20">
        <v>36.72521</v>
      </c>
      <c r="M238" s="28">
        <v>0.0980320770333125</v>
      </c>
      <c r="N238" s="30">
        <v>2990</v>
      </c>
      <c r="O238" s="31" t="s">
        <v>103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2</v>
      </c>
      <c r="AF238" s="1">
        <v>33746</v>
      </c>
      <c r="AG238" s="33">
        <f t="shared" si="12"/>
        <v>5.92662834113673e-5</v>
      </c>
      <c r="AH238" s="2">
        <v>0</v>
      </c>
      <c r="AI238" s="2">
        <v>0</v>
      </c>
      <c r="AJ238" s="2">
        <v>0</v>
      </c>
    </row>
    <row r="239" s="2" customFormat="1" spans="1:36">
      <c r="A239" s="2" t="str">
        <f>VLOOKUP(B239,'[1]2. ISIC行业分类'!$A$2:$B$102,2,FALSE)</f>
        <v>C2221</v>
      </c>
      <c r="B239" s="14" t="s">
        <v>102</v>
      </c>
      <c r="C239" s="15" t="s">
        <v>44</v>
      </c>
      <c r="D239" s="16">
        <v>8.8104</v>
      </c>
      <c r="E239" s="16">
        <v>654.20966</v>
      </c>
      <c r="F239" s="17">
        <f t="shared" si="11"/>
        <v>0.0134672422904914</v>
      </c>
      <c r="G239" s="16">
        <v>231.4247</v>
      </c>
      <c r="H239" s="16">
        <v>425.81181</v>
      </c>
      <c r="I239" s="24">
        <v>0.543490562180509</v>
      </c>
      <c r="J239" s="25">
        <v>235.71857</v>
      </c>
      <c r="K239" s="24">
        <v>0.553574523919381</v>
      </c>
      <c r="L239" s="16">
        <v>53.02176</v>
      </c>
      <c r="M239" s="24">
        <v>0.124519233038652</v>
      </c>
      <c r="N239" s="26">
        <v>2906</v>
      </c>
      <c r="O239" s="27" t="s">
        <v>103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39493</v>
      </c>
      <c r="AG239" s="33">
        <f t="shared" si="12"/>
        <v>0</v>
      </c>
      <c r="AH239" s="1">
        <v>1</v>
      </c>
      <c r="AI239" s="1">
        <v>8</v>
      </c>
      <c r="AJ239" s="1">
        <v>1</v>
      </c>
    </row>
    <row r="240" s="2" customFormat="1" spans="1:36">
      <c r="A240" s="2" t="str">
        <f>VLOOKUP(B240,'[1]2. ISIC行业分类'!$A$2:$B$102,2,FALSE)</f>
        <v>C2394</v>
      </c>
      <c r="B240" s="14" t="s">
        <v>104</v>
      </c>
      <c r="C240" s="15" t="s">
        <v>37</v>
      </c>
      <c r="D240" s="16">
        <v>69.952</v>
      </c>
      <c r="E240" s="16">
        <v>18950.83353</v>
      </c>
      <c r="F240" s="17">
        <f t="shared" si="11"/>
        <v>0.00369123605509293</v>
      </c>
      <c r="G240" s="16">
        <v>19507.52999</v>
      </c>
      <c r="H240" s="16">
        <v>39753.96632</v>
      </c>
      <c r="I240" s="24">
        <v>0.490706507948765</v>
      </c>
      <c r="J240" s="25">
        <v>38836.87685</v>
      </c>
      <c r="K240" s="24">
        <v>0.9769308686681</v>
      </c>
      <c r="L240" s="16">
        <v>1295.6028</v>
      </c>
      <c r="M240" s="24">
        <v>0.0325905291957796</v>
      </c>
      <c r="N240" s="26">
        <v>67584</v>
      </c>
      <c r="O240" s="27" t="s">
        <v>105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125343</v>
      </c>
      <c r="AG240" s="33">
        <f t="shared" si="12"/>
        <v>0</v>
      </c>
      <c r="AH240" s="1">
        <v>4</v>
      </c>
      <c r="AI240" s="1">
        <v>137</v>
      </c>
      <c r="AJ240" s="1">
        <v>42</v>
      </c>
    </row>
    <row r="241" s="2" customFormat="1" spans="1:36">
      <c r="A241" s="2" t="str">
        <f>VLOOKUP(B241,'[1]2. ISIC行业分类'!$A$2:$B$102,2,FALSE)</f>
        <v>C2394</v>
      </c>
      <c r="B241" s="14" t="s">
        <v>104</v>
      </c>
      <c r="C241" s="15" t="s">
        <v>39</v>
      </c>
      <c r="D241" s="16">
        <v>109.2</v>
      </c>
      <c r="E241" s="16">
        <v>23555.49784</v>
      </c>
      <c r="F241" s="17">
        <f t="shared" si="11"/>
        <v>0.00463586041533648</v>
      </c>
      <c r="G241" s="16">
        <v>37530.58798</v>
      </c>
      <c r="H241" s="16">
        <v>73209.41658</v>
      </c>
      <c r="I241" s="24">
        <v>0.512647002711574</v>
      </c>
      <c r="J241" s="25">
        <v>53532.22599</v>
      </c>
      <c r="K241" s="24">
        <v>0.731220497181566</v>
      </c>
      <c r="L241" s="16">
        <v>-1467.22466</v>
      </c>
      <c r="M241" s="24">
        <v>-0.0200414745608126</v>
      </c>
      <c r="N241" s="26">
        <v>100956</v>
      </c>
      <c r="O241" s="27" t="s">
        <v>105</v>
      </c>
      <c r="P241" s="1">
        <v>0</v>
      </c>
      <c r="Q241" s="1">
        <v>0</v>
      </c>
      <c r="R241" s="1">
        <v>0</v>
      </c>
      <c r="S241" s="1">
        <v>0</v>
      </c>
      <c r="T241" s="1">
        <v>1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2</v>
      </c>
      <c r="AF241" s="1">
        <v>66797</v>
      </c>
      <c r="AG241" s="33">
        <f t="shared" si="12"/>
        <v>2.99414644370256e-5</v>
      </c>
      <c r="AH241" s="1">
        <v>14</v>
      </c>
      <c r="AI241" s="1">
        <v>269</v>
      </c>
      <c r="AJ241" s="1">
        <v>133</v>
      </c>
    </row>
    <row r="242" s="2" customFormat="1" spans="1:36">
      <c r="A242" s="2" t="str">
        <f>VLOOKUP(B242,'[1]2. ISIC行业分类'!$A$2:$B$102,2,FALSE)</f>
        <v>C2394</v>
      </c>
      <c r="B242" s="14" t="s">
        <v>104</v>
      </c>
      <c r="C242" s="15" t="s">
        <v>40</v>
      </c>
      <c r="D242" s="16">
        <v>143.115</v>
      </c>
      <c r="E242" s="16">
        <v>26486.05013</v>
      </c>
      <c r="F242" s="17">
        <f t="shared" si="11"/>
        <v>0.00540341044804932</v>
      </c>
      <c r="G242" s="16">
        <v>34328.29943</v>
      </c>
      <c r="H242" s="16">
        <v>68535.50965</v>
      </c>
      <c r="I242" s="24">
        <v>0.500883404899288</v>
      </c>
      <c r="J242" s="25">
        <v>50046.26986</v>
      </c>
      <c r="K242" s="24">
        <v>0.730223939612886</v>
      </c>
      <c r="L242" s="16">
        <v>1763.17707</v>
      </c>
      <c r="M242" s="24">
        <v>0.0257264749179552</v>
      </c>
      <c r="N242" s="26">
        <v>90903</v>
      </c>
      <c r="O242" s="27" t="s">
        <v>105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65729</v>
      </c>
      <c r="AG242" s="33">
        <f t="shared" si="12"/>
        <v>0</v>
      </c>
      <c r="AH242" s="1">
        <v>16</v>
      </c>
      <c r="AI242" s="1">
        <v>233</v>
      </c>
      <c r="AJ242" s="1">
        <v>112</v>
      </c>
    </row>
    <row r="243" s="2" customFormat="1" spans="1:36">
      <c r="A243" s="2" t="str">
        <f>VLOOKUP(B243,'[1]2. ISIC行业分类'!$A$2:$B$102,2,FALSE)</f>
        <v>C2394</v>
      </c>
      <c r="B243" s="14" t="s">
        <v>104</v>
      </c>
      <c r="C243" s="15" t="s">
        <v>41</v>
      </c>
      <c r="D243" s="16">
        <v>97.92</v>
      </c>
      <c r="E243" s="16">
        <v>27726.35856</v>
      </c>
      <c r="F243" s="17">
        <f t="shared" si="11"/>
        <v>0.00353165742223598</v>
      </c>
      <c r="G243" s="16">
        <v>33557.70809</v>
      </c>
      <c r="H243" s="16">
        <v>65341.28222</v>
      </c>
      <c r="I243" s="24">
        <v>0.513575904081792</v>
      </c>
      <c r="J243" s="25">
        <v>53574.94664</v>
      </c>
      <c r="K243" s="24">
        <v>0.819924935963401</v>
      </c>
      <c r="L243" s="16">
        <v>-1718.72435</v>
      </c>
      <c r="M243" s="24">
        <v>-0.026303805061755</v>
      </c>
      <c r="N243" s="26">
        <v>81960</v>
      </c>
      <c r="O243" s="27" t="s">
        <v>105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1</v>
      </c>
      <c r="Z243" s="1">
        <v>1</v>
      </c>
      <c r="AA243" s="1">
        <v>0</v>
      </c>
      <c r="AB243" s="1">
        <v>0</v>
      </c>
      <c r="AC243" s="1">
        <v>0</v>
      </c>
      <c r="AD243" s="1">
        <v>0</v>
      </c>
      <c r="AE243" s="1">
        <v>2</v>
      </c>
      <c r="AF243" s="1">
        <v>57448</v>
      </c>
      <c r="AG243" s="33">
        <f t="shared" si="12"/>
        <v>3.48140927447431e-5</v>
      </c>
      <c r="AH243" s="1">
        <v>9</v>
      </c>
      <c r="AI243" s="1">
        <v>171</v>
      </c>
      <c r="AJ243" s="1">
        <v>94</v>
      </c>
    </row>
    <row r="244" s="2" customFormat="1" spans="1:36">
      <c r="A244" s="2" t="str">
        <f>VLOOKUP(B244,'[1]2. ISIC行业分类'!$A$2:$B$102,2,FALSE)</f>
        <v>C2394</v>
      </c>
      <c r="B244" s="14" t="s">
        <v>104</v>
      </c>
      <c r="C244" s="15" t="s">
        <v>42</v>
      </c>
      <c r="D244" s="16">
        <v>99.96</v>
      </c>
      <c r="E244" s="16">
        <v>27913.73634</v>
      </c>
      <c r="F244" s="17">
        <f t="shared" si="11"/>
        <v>0.00358103260640027</v>
      </c>
      <c r="G244" s="16">
        <v>30125.20835</v>
      </c>
      <c r="H244" s="16">
        <v>60668.11661</v>
      </c>
      <c r="I244" s="24">
        <v>0.496557500600479</v>
      </c>
      <c r="J244" s="25">
        <v>50917.72025</v>
      </c>
      <c r="K244" s="24">
        <v>0.839283022041386</v>
      </c>
      <c r="L244" s="16">
        <v>1526.48482</v>
      </c>
      <c r="M244" s="24">
        <v>0.0251612363346118</v>
      </c>
      <c r="N244" s="26">
        <v>77055</v>
      </c>
      <c r="O244" s="27" t="s">
        <v>105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1</v>
      </c>
      <c r="W244" s="1">
        <v>0</v>
      </c>
      <c r="X244" s="1">
        <v>0</v>
      </c>
      <c r="Y244" s="1">
        <v>1</v>
      </c>
      <c r="Z244" s="1">
        <v>1</v>
      </c>
      <c r="AA244" s="1">
        <v>0</v>
      </c>
      <c r="AB244" s="1">
        <v>0</v>
      </c>
      <c r="AC244" s="1">
        <v>0</v>
      </c>
      <c r="AD244" s="1">
        <v>0</v>
      </c>
      <c r="AE244" s="1">
        <v>4</v>
      </c>
      <c r="AF244" s="1">
        <v>61763</v>
      </c>
      <c r="AG244" s="33">
        <f t="shared" si="12"/>
        <v>6.47636934734388e-5</v>
      </c>
      <c r="AH244" s="1">
        <v>4</v>
      </c>
      <c r="AI244" s="1">
        <v>61</v>
      </c>
      <c r="AJ244" s="1">
        <v>13</v>
      </c>
    </row>
    <row r="245" s="2" customFormat="1" spans="1:36">
      <c r="A245" s="2" t="str">
        <f>VLOOKUP(B245,'[1]2. ISIC行业分类'!$A$2:$B$102,2,FALSE)</f>
        <v>C2394</v>
      </c>
      <c r="B245" s="14" t="s">
        <v>104</v>
      </c>
      <c r="C245" s="15" t="s">
        <v>43</v>
      </c>
      <c r="D245" s="16">
        <v>83.83</v>
      </c>
      <c r="E245" s="16">
        <v>27591.40519</v>
      </c>
      <c r="F245" s="17">
        <f t="shared" si="11"/>
        <v>0.00303826497500688</v>
      </c>
      <c r="G245" s="16">
        <v>27683.30082</v>
      </c>
      <c r="H245" s="16">
        <v>60207.12658</v>
      </c>
      <c r="I245" s="24">
        <v>0.459801063304623</v>
      </c>
      <c r="J245" s="25">
        <v>51220.97287</v>
      </c>
      <c r="K245" s="24">
        <v>0.85074601263258</v>
      </c>
      <c r="L245" s="16">
        <v>2319.07402</v>
      </c>
      <c r="M245" s="24">
        <v>0.0385182643938096</v>
      </c>
      <c r="N245" s="26">
        <v>72452</v>
      </c>
      <c r="O245" s="27" t="s">
        <v>105</v>
      </c>
      <c r="P245" s="1">
        <v>1</v>
      </c>
      <c r="Q245" s="1">
        <v>0</v>
      </c>
      <c r="R245" s="1">
        <v>0</v>
      </c>
      <c r="S245" s="1">
        <v>1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1</v>
      </c>
      <c r="Z245" s="1">
        <v>1</v>
      </c>
      <c r="AA245" s="1">
        <v>0</v>
      </c>
      <c r="AB245" s="1">
        <v>0</v>
      </c>
      <c r="AC245" s="1">
        <v>0</v>
      </c>
      <c r="AD245" s="1">
        <v>0</v>
      </c>
      <c r="AE245" s="1">
        <v>11</v>
      </c>
      <c r="AF245" s="1">
        <v>70337</v>
      </c>
      <c r="AG245" s="33">
        <f t="shared" si="12"/>
        <v>0.00015638995123477</v>
      </c>
      <c r="AH245" s="1">
        <v>5</v>
      </c>
      <c r="AI245" s="1">
        <v>54</v>
      </c>
      <c r="AJ245" s="1">
        <v>25</v>
      </c>
    </row>
    <row r="246" s="2" customFormat="1" spans="1:36">
      <c r="A246" s="2" t="str">
        <f>VLOOKUP(B246,'[1]2. ISIC行业分类'!$A$2:$B$102,2,FALSE)</f>
        <v>C2732</v>
      </c>
      <c r="B246" s="14" t="s">
        <v>106</v>
      </c>
      <c r="C246" s="15" t="s">
        <v>37</v>
      </c>
      <c r="D246" s="16">
        <v>28.32508</v>
      </c>
      <c r="E246" s="16">
        <v>753.50628</v>
      </c>
      <c r="F246" s="17">
        <f t="shared" si="11"/>
        <v>0.0375910337469251</v>
      </c>
      <c r="G246" s="16">
        <v>164.46404</v>
      </c>
      <c r="H246" s="16">
        <v>842.5898</v>
      </c>
      <c r="I246" s="24">
        <v>0.195188738339819</v>
      </c>
      <c r="J246" s="25">
        <v>620.99541</v>
      </c>
      <c r="K246" s="24">
        <v>0.737007984193495</v>
      </c>
      <c r="L246" s="16">
        <v>59.62491</v>
      </c>
      <c r="M246" s="24">
        <v>0.0707638639822129</v>
      </c>
      <c r="N246" s="26">
        <v>3891</v>
      </c>
      <c r="O246" s="27" t="s">
        <v>107</v>
      </c>
      <c r="AH246" s="1">
        <v>2</v>
      </c>
      <c r="AI246" s="1">
        <v>45</v>
      </c>
      <c r="AJ246" s="1">
        <v>28</v>
      </c>
    </row>
    <row r="247" s="2" customFormat="1" spans="1:36">
      <c r="A247" s="2" t="str">
        <f>VLOOKUP(B247,'[1]2. ISIC行业分类'!$A$2:$B$102,2,FALSE)</f>
        <v>C2732</v>
      </c>
      <c r="B247" s="14" t="s">
        <v>106</v>
      </c>
      <c r="C247" s="15" t="s">
        <v>39</v>
      </c>
      <c r="D247" s="16">
        <v>29.37346</v>
      </c>
      <c r="E247" s="16">
        <v>705.49535</v>
      </c>
      <c r="F247" s="17">
        <f t="shared" si="11"/>
        <v>0.0416352283540919</v>
      </c>
      <c r="G247" s="16">
        <v>128.47255</v>
      </c>
      <c r="H247" s="16">
        <v>777.31944</v>
      </c>
      <c r="I247" s="24">
        <v>0.165276388816418</v>
      </c>
      <c r="J247" s="25">
        <v>569.10538</v>
      </c>
      <c r="K247" s="24">
        <v>0.732138360002935</v>
      </c>
      <c r="L247" s="16">
        <v>24.67914</v>
      </c>
      <c r="M247" s="24">
        <v>0.0317490322897366</v>
      </c>
      <c r="N247" s="26">
        <v>3649</v>
      </c>
      <c r="O247" s="27" t="s">
        <v>107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25751</v>
      </c>
      <c r="AG247" s="33">
        <f t="shared" ref="AG247:AG252" si="13">AE247/AF247</f>
        <v>0</v>
      </c>
      <c r="AH247" s="1">
        <v>3</v>
      </c>
      <c r="AI247" s="1">
        <v>80</v>
      </c>
      <c r="AJ247" s="1">
        <v>10</v>
      </c>
    </row>
    <row r="248" s="2" customFormat="1" spans="1:36">
      <c r="A248" s="2" t="str">
        <f>VLOOKUP(B248,'[1]2. ISIC行业分类'!$A$2:$B$102,2,FALSE)</f>
        <v>C2732</v>
      </c>
      <c r="B248" s="14" t="s">
        <v>106</v>
      </c>
      <c r="C248" s="15" t="s">
        <v>40</v>
      </c>
      <c r="D248" s="16">
        <v>29.82339</v>
      </c>
      <c r="E248" s="16">
        <v>725.71029</v>
      </c>
      <c r="F248" s="17">
        <f t="shared" si="11"/>
        <v>0.0410954487086024</v>
      </c>
      <c r="G248" s="16">
        <v>127.96767</v>
      </c>
      <c r="H248" s="16">
        <v>692.38812</v>
      </c>
      <c r="I248" s="24">
        <v>0.184820718761032</v>
      </c>
      <c r="J248" s="25">
        <v>580.92402</v>
      </c>
      <c r="K248" s="24">
        <v>0.839015002163815</v>
      </c>
      <c r="L248" s="16">
        <v>52.36764</v>
      </c>
      <c r="M248" s="24">
        <v>0.0756333600871142</v>
      </c>
      <c r="N248" s="26">
        <v>4031</v>
      </c>
      <c r="O248" s="27" t="s">
        <v>107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28111</v>
      </c>
      <c r="AG248" s="33">
        <f t="shared" si="13"/>
        <v>0</v>
      </c>
      <c r="AH248" s="1">
        <v>3</v>
      </c>
      <c r="AI248" s="1">
        <v>47</v>
      </c>
      <c r="AJ248" s="1">
        <v>31</v>
      </c>
    </row>
    <row r="249" s="2" customFormat="1" spans="1:36">
      <c r="A249" s="2" t="str">
        <f>VLOOKUP(B249,'[1]2. ISIC行业分类'!$A$2:$B$102,2,FALSE)</f>
        <v>C2732</v>
      </c>
      <c r="B249" s="14" t="s">
        <v>106</v>
      </c>
      <c r="C249" s="15" t="s">
        <v>41</v>
      </c>
      <c r="D249" s="16">
        <v>35.10507</v>
      </c>
      <c r="E249" s="16">
        <v>794.24253</v>
      </c>
      <c r="F249" s="17">
        <f t="shared" si="11"/>
        <v>0.04419943364151</v>
      </c>
      <c r="G249" s="16">
        <v>162.78423</v>
      </c>
      <c r="H249" s="16">
        <v>771.73494</v>
      </c>
      <c r="I249" s="24">
        <v>0.210932823645383</v>
      </c>
      <c r="J249" s="25">
        <v>629.57335</v>
      </c>
      <c r="K249" s="24">
        <v>0.815789615538205</v>
      </c>
      <c r="L249" s="16">
        <v>43.24618</v>
      </c>
      <c r="M249" s="24">
        <v>0.0560376079382903</v>
      </c>
      <c r="N249" s="26">
        <v>4200</v>
      </c>
      <c r="O249" s="27" t="s">
        <v>107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22420</v>
      </c>
      <c r="AG249" s="33">
        <f t="shared" si="13"/>
        <v>0</v>
      </c>
      <c r="AH249" s="1">
        <v>8</v>
      </c>
      <c r="AI249" s="1">
        <v>148</v>
      </c>
      <c r="AJ249" s="1">
        <v>124</v>
      </c>
    </row>
    <row r="250" s="2" customFormat="1" spans="1:36">
      <c r="A250" s="2" t="str">
        <f>VLOOKUP(B250,'[1]2. ISIC行业分类'!$A$2:$B$102,2,FALSE)</f>
        <v>C2732</v>
      </c>
      <c r="B250" s="14" t="s">
        <v>106</v>
      </c>
      <c r="C250" s="15" t="s">
        <v>42</v>
      </c>
      <c r="D250" s="16">
        <v>37.17834</v>
      </c>
      <c r="E250" s="16">
        <v>899.46441</v>
      </c>
      <c r="F250" s="17">
        <f t="shared" si="11"/>
        <v>0.0413338644494005</v>
      </c>
      <c r="G250" s="16">
        <v>151.28257</v>
      </c>
      <c r="H250" s="16">
        <v>782.15375</v>
      </c>
      <c r="I250" s="24">
        <v>0.193417943722702</v>
      </c>
      <c r="J250" s="25">
        <v>633.24017</v>
      </c>
      <c r="K250" s="24">
        <v>0.809610859757433</v>
      </c>
      <c r="L250" s="16">
        <v>62.35416</v>
      </c>
      <c r="M250" s="24">
        <v>0.079721103427555</v>
      </c>
      <c r="N250" s="26">
        <v>4456</v>
      </c>
      <c r="O250" s="27" t="s">
        <v>107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2</v>
      </c>
      <c r="AF250" s="1">
        <v>20880</v>
      </c>
      <c r="AG250" s="33">
        <f t="shared" si="13"/>
        <v>9.57854406130268e-5</v>
      </c>
      <c r="AH250" s="1">
        <v>2</v>
      </c>
      <c r="AI250" s="1">
        <v>19</v>
      </c>
      <c r="AJ250" s="1">
        <v>14</v>
      </c>
    </row>
    <row r="251" s="2" customFormat="1" spans="1:36">
      <c r="A251" s="2" t="str">
        <f>VLOOKUP(B251,'[1]2. ISIC行业分类'!$A$2:$B$102,2,FALSE)</f>
        <v>C2732</v>
      </c>
      <c r="B251" s="14" t="s">
        <v>106</v>
      </c>
      <c r="C251" s="15" t="s">
        <v>43</v>
      </c>
      <c r="D251" s="16">
        <v>43.45011</v>
      </c>
      <c r="E251" s="16">
        <v>857.63405</v>
      </c>
      <c r="F251" s="17">
        <f t="shared" si="11"/>
        <v>0.0506627622818847</v>
      </c>
      <c r="G251" s="16">
        <v>167.57633</v>
      </c>
      <c r="H251" s="16">
        <v>774.41068</v>
      </c>
      <c r="I251" s="24">
        <v>0.216392069902755</v>
      </c>
      <c r="J251" s="25">
        <v>665.98519</v>
      </c>
      <c r="K251" s="24">
        <v>0.859989676278741</v>
      </c>
      <c r="L251" s="16">
        <v>64.65942</v>
      </c>
      <c r="M251" s="24">
        <v>0.0834950003530427</v>
      </c>
      <c r="N251" s="26">
        <v>4823</v>
      </c>
      <c r="O251" s="27" t="s">
        <v>107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2</v>
      </c>
      <c r="AF251" s="1">
        <v>21167</v>
      </c>
      <c r="AG251" s="33">
        <f t="shared" si="13"/>
        <v>9.44867009968347e-5</v>
      </c>
      <c r="AH251" s="1">
        <v>2</v>
      </c>
      <c r="AI251" s="1">
        <v>62</v>
      </c>
      <c r="AJ251" s="1">
        <v>7</v>
      </c>
    </row>
    <row r="252" s="2" customFormat="1" spans="1:36">
      <c r="A252" s="2" t="str">
        <f>VLOOKUP(B252,'[1]2. ISIC行业分类'!$A$2:$B$102,2,FALSE)</f>
        <v>C2732</v>
      </c>
      <c r="B252" s="14" t="s">
        <v>106</v>
      </c>
      <c r="C252" s="15" t="s">
        <v>44</v>
      </c>
      <c r="D252" s="16">
        <v>54.02656</v>
      </c>
      <c r="E252" s="16">
        <v>834.01752</v>
      </c>
      <c r="F252" s="17">
        <f t="shared" si="11"/>
        <v>0.064778687143167</v>
      </c>
      <c r="G252" s="16">
        <v>168.05764</v>
      </c>
      <c r="H252" s="16">
        <v>836.75276</v>
      </c>
      <c r="I252" s="24">
        <v>0.20084503814484</v>
      </c>
      <c r="J252" s="25">
        <v>742.08873</v>
      </c>
      <c r="K252" s="24">
        <v>0.886867382427278</v>
      </c>
      <c r="L252" s="16">
        <v>58.61882</v>
      </c>
      <c r="M252" s="24">
        <v>0.0700551259609828</v>
      </c>
      <c r="N252" s="26">
        <v>4410</v>
      </c>
      <c r="O252" s="27" t="s">
        <v>107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2</v>
      </c>
      <c r="AF252" s="1">
        <v>22477</v>
      </c>
      <c r="AG252" s="33">
        <f t="shared" si="13"/>
        <v>8.89798460648663e-5</v>
      </c>
      <c r="AH252" s="1">
        <v>1</v>
      </c>
      <c r="AI252" s="1">
        <v>28</v>
      </c>
      <c r="AJ252" s="1">
        <v>2</v>
      </c>
    </row>
    <row r="253" s="2" customFormat="1" spans="1:36">
      <c r="A253" s="2" t="str">
        <f>VLOOKUP(B253,'[1]2. ISIC行业分类'!$A$2:$B$102,2,FALSE)</f>
        <v>C2100</v>
      </c>
      <c r="B253" s="14" t="s">
        <v>108</v>
      </c>
      <c r="C253" s="15" t="s">
        <v>41</v>
      </c>
      <c r="D253" s="16">
        <v>0</v>
      </c>
      <c r="E253" s="16">
        <v>194.654</v>
      </c>
      <c r="F253" s="17">
        <f t="shared" si="11"/>
        <v>0</v>
      </c>
      <c r="G253" s="16">
        <v>566.78912</v>
      </c>
      <c r="H253" s="16">
        <v>1325.60027</v>
      </c>
      <c r="I253" s="24">
        <v>0.427571669097503</v>
      </c>
      <c r="J253" s="25">
        <v>170.92842</v>
      </c>
      <c r="K253" s="24">
        <v>0.128944165046074</v>
      </c>
      <c r="L253" s="16">
        <v>-17.56978</v>
      </c>
      <c r="M253" s="24">
        <v>-0.01325420671497</v>
      </c>
      <c r="N253" s="26">
        <v>650</v>
      </c>
      <c r="O253" s="27" t="s">
        <v>41</v>
      </c>
      <c r="AH253" s="1">
        <v>4</v>
      </c>
      <c r="AI253" s="1">
        <v>131</v>
      </c>
      <c r="AJ253" s="1">
        <v>33</v>
      </c>
    </row>
    <row r="254" s="2" customFormat="1" spans="1:36">
      <c r="A254" s="2" t="str">
        <f>VLOOKUP(B254,'[1]2. ISIC行业分类'!$A$2:$B$102,2,FALSE)</f>
        <v>C2100</v>
      </c>
      <c r="B254" s="14" t="s">
        <v>108</v>
      </c>
      <c r="C254" s="15" t="s">
        <v>42</v>
      </c>
      <c r="D254" s="16">
        <v>0</v>
      </c>
      <c r="E254" s="16">
        <v>61.60616</v>
      </c>
      <c r="F254" s="17">
        <f t="shared" si="11"/>
        <v>0</v>
      </c>
      <c r="G254" s="16">
        <v>761.35717</v>
      </c>
      <c r="H254" s="16">
        <v>1429.70243</v>
      </c>
      <c r="I254" s="24">
        <v>0.532528415720745</v>
      </c>
      <c r="J254" s="25">
        <v>182.21168</v>
      </c>
      <c r="K254" s="24">
        <v>0.127447275864251</v>
      </c>
      <c r="L254" s="16">
        <v>-392.68873</v>
      </c>
      <c r="M254" s="24">
        <v>-0.274664658715031</v>
      </c>
      <c r="N254" s="26">
        <v>0</v>
      </c>
      <c r="O254" s="27" t="s">
        <v>41</v>
      </c>
      <c r="AH254" s="1">
        <v>8</v>
      </c>
      <c r="AI254" s="1">
        <v>519</v>
      </c>
      <c r="AJ254" s="1">
        <v>49</v>
      </c>
    </row>
    <row r="255" s="2" customFormat="1" spans="1:36">
      <c r="A255" s="2" t="str">
        <f>VLOOKUP(B255,'[1]2. ISIC行业分类'!$A$2:$B$102,2,FALSE)</f>
        <v>C2100</v>
      </c>
      <c r="B255" s="14" t="s">
        <v>108</v>
      </c>
      <c r="C255" s="15" t="s">
        <v>43</v>
      </c>
      <c r="D255" s="16">
        <v>0</v>
      </c>
      <c r="E255" s="16">
        <v>24.59396</v>
      </c>
      <c r="F255" s="17">
        <f t="shared" si="11"/>
        <v>0</v>
      </c>
      <c r="G255" s="16">
        <v>867.1788</v>
      </c>
      <c r="H255" s="16">
        <v>1036.87183</v>
      </c>
      <c r="I255" s="24">
        <v>0.836341363425796</v>
      </c>
      <c r="J255" s="25">
        <v>261.95418</v>
      </c>
      <c r="K255" s="24">
        <v>0.252638920665826</v>
      </c>
      <c r="L255" s="16">
        <v>-509.66866</v>
      </c>
      <c r="M255" s="24">
        <v>-0.491544514233741</v>
      </c>
      <c r="N255" s="26">
        <v>0</v>
      </c>
      <c r="O255" s="27" t="s">
        <v>41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32072</v>
      </c>
      <c r="AG255" s="33">
        <f t="shared" ref="AG255:AG273" si="14">AE255/AF255</f>
        <v>0</v>
      </c>
      <c r="AH255" s="1">
        <v>4</v>
      </c>
      <c r="AI255" s="1">
        <v>73</v>
      </c>
      <c r="AJ255" s="1">
        <v>13</v>
      </c>
    </row>
    <row r="256" s="2" customFormat="1" spans="1:36">
      <c r="A256" s="2" t="str">
        <f>VLOOKUP(B256,'[1]2. ISIC行业分类'!$A$2:$B$102,2,FALSE)</f>
        <v>C2100</v>
      </c>
      <c r="B256" s="14" t="s">
        <v>108</v>
      </c>
      <c r="C256" s="15" t="s">
        <v>44</v>
      </c>
      <c r="D256" s="16">
        <v>0</v>
      </c>
      <c r="E256" s="16">
        <v>81.1054</v>
      </c>
      <c r="F256" s="17">
        <f t="shared" si="11"/>
        <v>0</v>
      </c>
      <c r="G256" s="16">
        <v>960.59</v>
      </c>
      <c r="H256" s="16">
        <v>1622.33964</v>
      </c>
      <c r="I256" s="24">
        <v>0.592101663742865</v>
      </c>
      <c r="J256" s="25">
        <v>294.80305</v>
      </c>
      <c r="K256" s="24">
        <v>0.181714754870934</v>
      </c>
      <c r="L256" s="16">
        <v>-502.73072</v>
      </c>
      <c r="M256" s="24">
        <v>-0.309880069256028</v>
      </c>
      <c r="N256" s="26">
        <v>0</v>
      </c>
      <c r="O256" s="27" t="s">
        <v>41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2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4</v>
      </c>
      <c r="AF256" s="1">
        <v>44381</v>
      </c>
      <c r="AG256" s="33">
        <f t="shared" si="14"/>
        <v>9.01286586602375e-5</v>
      </c>
      <c r="AH256" s="1">
        <v>4</v>
      </c>
      <c r="AI256" s="1">
        <v>36</v>
      </c>
      <c r="AJ256" s="1">
        <v>9</v>
      </c>
    </row>
    <row r="257" s="2" customFormat="1" spans="1:36">
      <c r="A257" s="2" t="str">
        <f>VLOOKUP(B257,'[1]2. ISIC行业分类'!$A$2:$B$102,2,FALSE)</f>
        <v>C2651</v>
      </c>
      <c r="B257" s="14" t="s">
        <v>109</v>
      </c>
      <c r="C257" s="15" t="s">
        <v>37</v>
      </c>
      <c r="D257" s="16">
        <v>27.276</v>
      </c>
      <c r="E257" s="16">
        <v>305.467</v>
      </c>
      <c r="F257" s="17">
        <f t="shared" si="11"/>
        <v>0.0892927877643084</v>
      </c>
      <c r="G257" s="16">
        <v>39.169</v>
      </c>
      <c r="H257" s="16">
        <v>216.504</v>
      </c>
      <c r="I257" s="24">
        <v>0.180915826035547</v>
      </c>
      <c r="J257" s="25">
        <v>101.138</v>
      </c>
      <c r="K257" s="24">
        <v>0.467141484683886</v>
      </c>
      <c r="L257" s="16">
        <v>37.294</v>
      </c>
      <c r="M257" s="24">
        <v>0.172255477958837</v>
      </c>
      <c r="N257" s="26">
        <v>953</v>
      </c>
      <c r="O257" s="27" t="s">
        <v>110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16839</v>
      </c>
      <c r="AG257" s="33">
        <f t="shared" si="14"/>
        <v>0</v>
      </c>
      <c r="AH257" s="1">
        <v>10</v>
      </c>
      <c r="AI257" s="1">
        <v>227</v>
      </c>
      <c r="AJ257" s="1">
        <v>58</v>
      </c>
    </row>
    <row r="258" s="2" customFormat="1" spans="1:36">
      <c r="A258" s="2" t="str">
        <f>VLOOKUP(B258,'[1]2. ISIC行业分类'!$A$2:$B$102,2,FALSE)</f>
        <v>C2651</v>
      </c>
      <c r="B258" s="14" t="s">
        <v>109</v>
      </c>
      <c r="C258" s="15" t="s">
        <v>39</v>
      </c>
      <c r="D258" s="16">
        <v>24.602</v>
      </c>
      <c r="E258" s="16">
        <v>278.69</v>
      </c>
      <c r="F258" s="17">
        <f t="shared" ref="F258:F321" si="15">D258/E258</f>
        <v>0.0882772973554846</v>
      </c>
      <c r="G258" s="16">
        <v>33.488</v>
      </c>
      <c r="H258" s="16">
        <v>204.453</v>
      </c>
      <c r="I258" s="24">
        <v>0.163793145612928</v>
      </c>
      <c r="J258" s="25">
        <v>119.512</v>
      </c>
      <c r="K258" s="24">
        <v>0.584545103275569</v>
      </c>
      <c r="L258" s="16">
        <v>30.055</v>
      </c>
      <c r="M258" s="24">
        <v>0.147002000459763</v>
      </c>
      <c r="N258" s="26">
        <v>959</v>
      </c>
      <c r="O258" s="27" t="s">
        <v>110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17979</v>
      </c>
      <c r="AG258" s="33">
        <f t="shared" si="14"/>
        <v>0</v>
      </c>
      <c r="AH258" s="1">
        <v>12</v>
      </c>
      <c r="AI258" s="1">
        <v>214</v>
      </c>
      <c r="AJ258" s="1">
        <v>80</v>
      </c>
    </row>
    <row r="259" s="2" customFormat="1" spans="1:36">
      <c r="A259" s="2" t="str">
        <f>VLOOKUP(B259,'[1]2. ISIC行业分类'!$A$2:$B$102,2,FALSE)</f>
        <v>C2651</v>
      </c>
      <c r="B259" s="14" t="s">
        <v>109</v>
      </c>
      <c r="C259" s="15" t="s">
        <v>40</v>
      </c>
      <c r="D259" s="16">
        <v>26.767</v>
      </c>
      <c r="E259" s="16">
        <v>309.68</v>
      </c>
      <c r="F259" s="17">
        <f t="shared" si="15"/>
        <v>0.0864343838801343</v>
      </c>
      <c r="G259" s="16">
        <v>45.102</v>
      </c>
      <c r="H259" s="16">
        <v>213.43</v>
      </c>
      <c r="I259" s="24">
        <v>0.211319870683596</v>
      </c>
      <c r="J259" s="25">
        <v>116.958</v>
      </c>
      <c r="K259" s="24">
        <v>0.547992315981821</v>
      </c>
      <c r="L259" s="16">
        <v>40.319</v>
      </c>
      <c r="M259" s="24">
        <v>0.188909712786394</v>
      </c>
      <c r="N259" s="26">
        <v>990</v>
      </c>
      <c r="O259" s="27" t="s">
        <v>110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18560</v>
      </c>
      <c r="AG259" s="33">
        <f t="shared" si="14"/>
        <v>0</v>
      </c>
      <c r="AH259" s="1">
        <v>6</v>
      </c>
      <c r="AI259" s="1">
        <v>92</v>
      </c>
      <c r="AJ259" s="1">
        <v>29</v>
      </c>
    </row>
    <row r="260" s="2" customFormat="1" spans="1:36">
      <c r="A260" s="2" t="str">
        <f>VLOOKUP(B260,'[1]2. ISIC行业分类'!$A$2:$B$102,2,FALSE)</f>
        <v>C2651</v>
      </c>
      <c r="B260" s="14" t="s">
        <v>109</v>
      </c>
      <c r="C260" s="15" t="s">
        <v>41</v>
      </c>
      <c r="D260" s="16">
        <v>28.193</v>
      </c>
      <c r="E260" s="16">
        <v>373.581</v>
      </c>
      <c r="F260" s="17">
        <f t="shared" si="15"/>
        <v>0.0754669000832483</v>
      </c>
      <c r="G260" s="16">
        <v>61.61</v>
      </c>
      <c r="H260" s="16">
        <v>268.577</v>
      </c>
      <c r="I260" s="24">
        <v>0.229394177461212</v>
      </c>
      <c r="J260" s="25">
        <v>129.585</v>
      </c>
      <c r="K260" s="24">
        <v>0.482487331379828</v>
      </c>
      <c r="L260" s="16">
        <v>59.486</v>
      </c>
      <c r="M260" s="24">
        <v>0.22148583087904</v>
      </c>
      <c r="N260" s="26">
        <v>1028</v>
      </c>
      <c r="O260" s="27" t="s">
        <v>110</v>
      </c>
      <c r="P260" s="1">
        <v>0</v>
      </c>
      <c r="Q260" s="1">
        <v>0</v>
      </c>
      <c r="R260" s="1">
        <v>0</v>
      </c>
      <c r="S260" s="1">
        <v>0</v>
      </c>
      <c r="T260" s="1">
        <v>1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2</v>
      </c>
      <c r="AF260" s="1">
        <v>19345</v>
      </c>
      <c r="AG260" s="33">
        <f t="shared" si="14"/>
        <v>0.000103385887826312</v>
      </c>
      <c r="AH260" s="1">
        <v>7</v>
      </c>
      <c r="AI260" s="1">
        <v>151</v>
      </c>
      <c r="AJ260" s="1">
        <v>33</v>
      </c>
    </row>
    <row r="261" s="2" customFormat="1" spans="1:36">
      <c r="A261" s="2" t="str">
        <f>VLOOKUP(B261,'[1]2. ISIC行业分类'!$A$2:$B$102,2,FALSE)</f>
        <v>C2651</v>
      </c>
      <c r="B261" s="14" t="s">
        <v>109</v>
      </c>
      <c r="C261" s="15" t="s">
        <v>42</v>
      </c>
      <c r="D261" s="16">
        <v>31.695</v>
      </c>
      <c r="E261" s="16">
        <v>410.447</v>
      </c>
      <c r="F261" s="17">
        <f t="shared" si="15"/>
        <v>0.0772206886638226</v>
      </c>
      <c r="G261" s="16">
        <v>65.433</v>
      </c>
      <c r="H261" s="16">
        <v>271.189</v>
      </c>
      <c r="I261" s="24">
        <v>0.241281910401971</v>
      </c>
      <c r="J261" s="25">
        <v>142.534</v>
      </c>
      <c r="K261" s="24">
        <v>0.525589164752258</v>
      </c>
      <c r="L261" s="16">
        <v>64.167</v>
      </c>
      <c r="M261" s="24">
        <v>0.236613579459344</v>
      </c>
      <c r="N261" s="26">
        <v>1118</v>
      </c>
      <c r="O261" s="27" t="s">
        <v>110</v>
      </c>
      <c r="P261" s="1">
        <v>1</v>
      </c>
      <c r="Q261" s="1">
        <v>0</v>
      </c>
      <c r="R261" s="1">
        <v>0</v>
      </c>
      <c r="S261" s="1">
        <v>0</v>
      </c>
      <c r="T261" s="1">
        <v>1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4</v>
      </c>
      <c r="AF261" s="1">
        <v>19131</v>
      </c>
      <c r="AG261" s="33">
        <f t="shared" si="14"/>
        <v>0.000209084731587476</v>
      </c>
      <c r="AH261" s="1">
        <v>5</v>
      </c>
      <c r="AI261" s="1">
        <v>145</v>
      </c>
      <c r="AJ261" s="1">
        <v>5</v>
      </c>
    </row>
    <row r="262" s="2" customFormat="1" spans="1:36">
      <c r="A262" s="2" t="str">
        <f>VLOOKUP(B262,'[1]2. ISIC行业分类'!$A$2:$B$102,2,FALSE)</f>
        <v>C2651</v>
      </c>
      <c r="B262" s="14" t="s">
        <v>109</v>
      </c>
      <c r="C262" s="15" t="s">
        <v>43</v>
      </c>
      <c r="D262" s="16">
        <v>34.359</v>
      </c>
      <c r="E262" s="16">
        <v>381.659</v>
      </c>
      <c r="F262" s="17">
        <f t="shared" si="15"/>
        <v>0.0900253891562887</v>
      </c>
      <c r="G262" s="16">
        <v>66.238</v>
      </c>
      <c r="H262" s="16">
        <v>275.032</v>
      </c>
      <c r="I262" s="24">
        <v>0.240837429826347</v>
      </c>
      <c r="J262" s="25">
        <v>154.249</v>
      </c>
      <c r="K262" s="24">
        <v>0.560840193141162</v>
      </c>
      <c r="L262" s="16">
        <v>52.792</v>
      </c>
      <c r="M262" s="24">
        <v>0.19194857325693</v>
      </c>
      <c r="N262" s="26">
        <v>1183</v>
      </c>
      <c r="O262" s="27" t="s">
        <v>110</v>
      </c>
      <c r="P262" s="1">
        <v>1</v>
      </c>
      <c r="Q262" s="1">
        <v>0</v>
      </c>
      <c r="R262" s="1">
        <v>0</v>
      </c>
      <c r="S262" s="1">
        <v>0</v>
      </c>
      <c r="T262" s="1">
        <v>1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4</v>
      </c>
      <c r="AF262" s="1">
        <v>19817</v>
      </c>
      <c r="AG262" s="33">
        <f t="shared" si="14"/>
        <v>0.000201846899127012</v>
      </c>
      <c r="AH262" s="1">
        <v>3</v>
      </c>
      <c r="AI262" s="1">
        <v>45</v>
      </c>
      <c r="AJ262" s="1">
        <v>6</v>
      </c>
    </row>
    <row r="263" s="2" customFormat="1" spans="1:36">
      <c r="A263" s="2" t="str">
        <f>VLOOKUP(B263,'[1]2. ISIC行业分类'!$A$2:$B$102,2,FALSE)</f>
        <v>C2651</v>
      </c>
      <c r="B263" s="14" t="s">
        <v>109</v>
      </c>
      <c r="C263" s="15" t="s">
        <v>44</v>
      </c>
      <c r="D263" s="16">
        <v>38.994</v>
      </c>
      <c r="E263" s="16">
        <v>397.801</v>
      </c>
      <c r="F263" s="17">
        <f t="shared" si="15"/>
        <v>0.0980238863150168</v>
      </c>
      <c r="G263" s="16">
        <v>82.296</v>
      </c>
      <c r="H263" s="16">
        <v>305.182</v>
      </c>
      <c r="I263" s="24">
        <v>0.26966203773486</v>
      </c>
      <c r="J263" s="25">
        <v>170.097</v>
      </c>
      <c r="K263" s="24">
        <v>0.557362491890085</v>
      </c>
      <c r="L263" s="16">
        <v>49.299</v>
      </c>
      <c r="M263" s="24">
        <v>0.161539671409192</v>
      </c>
      <c r="N263" s="26">
        <v>1220</v>
      </c>
      <c r="O263" s="27" t="s">
        <v>110</v>
      </c>
      <c r="P263" s="1">
        <v>2</v>
      </c>
      <c r="Q263" s="1">
        <v>0</v>
      </c>
      <c r="R263" s="1">
        <v>0</v>
      </c>
      <c r="S263" s="1">
        <v>0</v>
      </c>
      <c r="T263" s="1">
        <v>1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6</v>
      </c>
      <c r="AF263" s="1">
        <v>22964</v>
      </c>
      <c r="AG263" s="33">
        <f t="shared" si="14"/>
        <v>0.000261278522905417</v>
      </c>
      <c r="AH263" s="1">
        <v>4</v>
      </c>
      <c r="AI263" s="1">
        <v>83</v>
      </c>
      <c r="AJ263" s="1">
        <v>3</v>
      </c>
    </row>
    <row r="264" s="2" customFormat="1" spans="1:36">
      <c r="A264" s="2" t="str">
        <f>VLOOKUP(B264,'[1]2. ISIC行业分类'!$A$2:$B$102,2,FALSE)</f>
        <v>C2651</v>
      </c>
      <c r="B264" s="14" t="s">
        <v>109</v>
      </c>
      <c r="C264" s="15" t="s">
        <v>45</v>
      </c>
      <c r="D264" s="16">
        <v>47.033</v>
      </c>
      <c r="E264" s="16">
        <v>515.777</v>
      </c>
      <c r="F264" s="17">
        <f t="shared" si="15"/>
        <v>0.0911886338475737</v>
      </c>
      <c r="G264" s="16">
        <v>112.569</v>
      </c>
      <c r="H264" s="16">
        <v>365.155</v>
      </c>
      <c r="I264" s="24">
        <v>0.308277306897071</v>
      </c>
      <c r="J264" s="25">
        <v>180.788</v>
      </c>
      <c r="K264" s="24">
        <v>0.49509934137558</v>
      </c>
      <c r="L264" s="16">
        <v>80.311</v>
      </c>
      <c r="M264" s="24">
        <v>0.219936739192945</v>
      </c>
      <c r="N264" s="26">
        <v>1297</v>
      </c>
      <c r="O264" s="27" t="s">
        <v>110</v>
      </c>
      <c r="P264" s="1">
        <v>2</v>
      </c>
      <c r="Q264" s="1">
        <v>3</v>
      </c>
      <c r="R264" s="1">
        <v>0</v>
      </c>
      <c r="S264" s="1">
        <v>1</v>
      </c>
      <c r="T264" s="1">
        <v>1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13</v>
      </c>
      <c r="AF264" s="1">
        <v>27217</v>
      </c>
      <c r="AG264" s="33">
        <f t="shared" si="14"/>
        <v>0.000477642649814454</v>
      </c>
      <c r="AH264" s="1">
        <v>2</v>
      </c>
      <c r="AI264" s="1">
        <v>7</v>
      </c>
      <c r="AJ264" s="1">
        <v>2</v>
      </c>
    </row>
    <row r="265" s="2" customFormat="1" spans="1:36">
      <c r="A265" s="2" t="str">
        <f>VLOOKUP(B265,'[1]2. ISIC行业分类'!$A$2:$B$102,2,FALSE)</f>
        <v>C2651</v>
      </c>
      <c r="B265" s="14" t="s">
        <v>109</v>
      </c>
      <c r="C265" s="15" t="s">
        <v>48</v>
      </c>
      <c r="D265" s="16">
        <v>45.514</v>
      </c>
      <c r="E265" s="16">
        <v>581.297</v>
      </c>
      <c r="F265" s="17">
        <f t="shared" si="15"/>
        <v>0.078297324775459</v>
      </c>
      <c r="G265" s="16">
        <v>151.964</v>
      </c>
      <c r="H265" s="16">
        <v>429.41</v>
      </c>
      <c r="I265" s="24">
        <v>0.353890221466664</v>
      </c>
      <c r="J265" s="25">
        <v>208.956</v>
      </c>
      <c r="K265" s="24">
        <v>0.486611862788477</v>
      </c>
      <c r="L265" s="16">
        <v>88.527</v>
      </c>
      <c r="M265" s="24">
        <v>0.20615961435458</v>
      </c>
      <c r="N265" s="26">
        <v>1456</v>
      </c>
      <c r="O265" s="27" t="s">
        <v>110</v>
      </c>
      <c r="P265" s="1">
        <v>1</v>
      </c>
      <c r="Q265" s="1">
        <v>0</v>
      </c>
      <c r="R265" s="1">
        <v>0</v>
      </c>
      <c r="S265" s="1">
        <v>0</v>
      </c>
      <c r="T265" s="1">
        <v>1</v>
      </c>
      <c r="U265" s="1">
        <v>0</v>
      </c>
      <c r="V265" s="1">
        <v>0</v>
      </c>
      <c r="W265" s="1">
        <v>1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6</v>
      </c>
      <c r="AF265" s="1">
        <v>29503</v>
      </c>
      <c r="AG265" s="33">
        <f t="shared" si="14"/>
        <v>0.000203369148900112</v>
      </c>
      <c r="AH265" s="1">
        <v>2</v>
      </c>
      <c r="AI265" s="1">
        <v>7</v>
      </c>
      <c r="AJ265" s="1">
        <v>0</v>
      </c>
    </row>
    <row r="266" s="2" customFormat="1" spans="1:36">
      <c r="A266" s="2" t="str">
        <f>VLOOKUP(B266,'[1]2. ISIC行业分类'!$A$2:$B$102,2,FALSE)</f>
        <v>C2825</v>
      </c>
      <c r="B266" s="14" t="s">
        <v>111</v>
      </c>
      <c r="C266" s="15" t="s">
        <v>37</v>
      </c>
      <c r="D266" s="16">
        <v>9.502542</v>
      </c>
      <c r="E266" s="16">
        <v>337.54731</v>
      </c>
      <c r="F266" s="17">
        <f t="shared" si="15"/>
        <v>0.028151733752522</v>
      </c>
      <c r="G266" s="16">
        <v>78.34723</v>
      </c>
      <c r="H266" s="16">
        <v>280.01631</v>
      </c>
      <c r="I266" s="24">
        <v>0.279795237641693</v>
      </c>
      <c r="J266" s="25">
        <v>196.21084</v>
      </c>
      <c r="K266" s="24">
        <v>0.70071218351531</v>
      </c>
      <c r="L266" s="16">
        <v>19.19546</v>
      </c>
      <c r="M266" s="24">
        <v>0.0685512211770807</v>
      </c>
      <c r="N266" s="26">
        <v>1800</v>
      </c>
      <c r="O266" s="27" t="s">
        <v>93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31054</v>
      </c>
      <c r="AG266" s="33">
        <f t="shared" si="14"/>
        <v>0</v>
      </c>
      <c r="AH266" s="1">
        <v>3</v>
      </c>
      <c r="AI266" s="1">
        <v>92</v>
      </c>
      <c r="AJ266" s="1">
        <v>12</v>
      </c>
    </row>
    <row r="267" s="2" customFormat="1" spans="1:36">
      <c r="A267" s="2" t="str">
        <f>VLOOKUP(B267,'[1]2. ISIC行业分类'!$A$2:$B$102,2,FALSE)</f>
        <v>C2825</v>
      </c>
      <c r="B267" s="14" t="s">
        <v>111</v>
      </c>
      <c r="C267" s="15" t="s">
        <v>39</v>
      </c>
      <c r="D267" s="16">
        <v>8.8036</v>
      </c>
      <c r="E267" s="16">
        <v>360.30203</v>
      </c>
      <c r="F267" s="17">
        <f t="shared" si="15"/>
        <v>0.0244339450432738</v>
      </c>
      <c r="G267" s="16">
        <v>85.2059</v>
      </c>
      <c r="H267" s="16">
        <v>292.60095</v>
      </c>
      <c r="I267" s="24">
        <v>0.291201720295166</v>
      </c>
      <c r="J267" s="25">
        <v>197.20638</v>
      </c>
      <c r="K267" s="24">
        <v>0.673977237599536</v>
      </c>
      <c r="L267" s="16">
        <v>29.26759</v>
      </c>
      <c r="M267" s="24">
        <v>0.100025615091134</v>
      </c>
      <c r="N267" s="26">
        <v>1900</v>
      </c>
      <c r="O267" s="27" t="s">
        <v>93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30841</v>
      </c>
      <c r="AG267" s="33">
        <f t="shared" si="14"/>
        <v>0</v>
      </c>
      <c r="AH267" s="1">
        <v>4</v>
      </c>
      <c r="AI267" s="1">
        <v>87</v>
      </c>
      <c r="AJ267" s="1">
        <v>33</v>
      </c>
    </row>
    <row r="268" s="2" customFormat="1" spans="1:36">
      <c r="A268" s="2" t="str">
        <f>VLOOKUP(B268,'[1]2. ISIC行业分类'!$A$2:$B$102,2,FALSE)</f>
        <v>C2825</v>
      </c>
      <c r="B268" s="14" t="s">
        <v>111</v>
      </c>
      <c r="C268" s="15" t="s">
        <v>40</v>
      </c>
      <c r="D268" s="16">
        <v>7.5922</v>
      </c>
      <c r="E268" s="16">
        <v>395.22338</v>
      </c>
      <c r="F268" s="17">
        <f t="shared" si="15"/>
        <v>0.019209895932776</v>
      </c>
      <c r="G268" s="16">
        <v>90.30499</v>
      </c>
      <c r="H268" s="16">
        <v>319.76904</v>
      </c>
      <c r="I268" s="24">
        <v>0.282406920945192</v>
      </c>
      <c r="J268" s="25">
        <v>205.9757</v>
      </c>
      <c r="K268" s="24">
        <v>0.644138969801454</v>
      </c>
      <c r="L268" s="16">
        <v>35.65241</v>
      </c>
      <c r="M268" s="24">
        <v>0.111494252226545</v>
      </c>
      <c r="N268" s="26">
        <v>2000</v>
      </c>
      <c r="O268" s="27" t="s">
        <v>93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2</v>
      </c>
      <c r="AB268" s="1">
        <v>0</v>
      </c>
      <c r="AC268" s="1">
        <v>0</v>
      </c>
      <c r="AD268" s="1">
        <v>0</v>
      </c>
      <c r="AE268" s="1">
        <v>4</v>
      </c>
      <c r="AF268" s="1">
        <v>30499</v>
      </c>
      <c r="AG268" s="33">
        <f t="shared" si="14"/>
        <v>0.000131151841043969</v>
      </c>
      <c r="AH268" s="1">
        <v>13</v>
      </c>
      <c r="AI268" s="1">
        <v>492</v>
      </c>
      <c r="AJ268" s="1">
        <v>116</v>
      </c>
    </row>
    <row r="269" s="2" customFormat="1" spans="1:36">
      <c r="A269" s="2" t="str">
        <f>VLOOKUP(B269,'[1]2. ISIC行业分类'!$A$2:$B$102,2,FALSE)</f>
        <v>C2825</v>
      </c>
      <c r="B269" s="14" t="s">
        <v>111</v>
      </c>
      <c r="C269" s="15" t="s">
        <v>41</v>
      </c>
      <c r="D269" s="16">
        <v>10.92012</v>
      </c>
      <c r="E269" s="16">
        <v>462.44664</v>
      </c>
      <c r="F269" s="17">
        <f t="shared" si="15"/>
        <v>0.0236137946639638</v>
      </c>
      <c r="G269" s="16">
        <v>96.10388</v>
      </c>
      <c r="H269" s="16">
        <v>364.6148</v>
      </c>
      <c r="I269" s="24">
        <v>0.263576464806146</v>
      </c>
      <c r="J269" s="25">
        <v>243.93265</v>
      </c>
      <c r="K269" s="24">
        <v>0.669014669728162</v>
      </c>
      <c r="L269" s="16">
        <v>40.07347</v>
      </c>
      <c r="M269" s="24">
        <v>0.109906317571311</v>
      </c>
      <c r="N269" s="26">
        <v>2100</v>
      </c>
      <c r="O269" s="27" t="s">
        <v>93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1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2</v>
      </c>
      <c r="AF269" s="1">
        <v>31640</v>
      </c>
      <c r="AG269" s="33">
        <f t="shared" si="14"/>
        <v>6.32111251580278e-5</v>
      </c>
      <c r="AH269" s="1">
        <v>10</v>
      </c>
      <c r="AI269" s="1">
        <v>702</v>
      </c>
      <c r="AJ269" s="1">
        <v>44</v>
      </c>
    </row>
    <row r="270" s="2" customFormat="1" spans="1:36">
      <c r="A270" s="2" t="str">
        <f>VLOOKUP(B270,'[1]2. ISIC行业分类'!$A$2:$B$102,2,FALSE)</f>
        <v>C2825</v>
      </c>
      <c r="B270" s="14" t="s">
        <v>111</v>
      </c>
      <c r="C270" s="15" t="s">
        <v>42</v>
      </c>
      <c r="D270" s="16">
        <v>11.52294</v>
      </c>
      <c r="E270" s="16">
        <v>568.9774</v>
      </c>
      <c r="F270" s="17">
        <f t="shared" si="15"/>
        <v>0.0202520170396926</v>
      </c>
      <c r="G270" s="16">
        <v>134.96687</v>
      </c>
      <c r="H270" s="16">
        <v>424.45018</v>
      </c>
      <c r="I270" s="24">
        <v>0.317980475352844</v>
      </c>
      <c r="J270" s="25">
        <v>255.60694</v>
      </c>
      <c r="K270" s="24">
        <v>0.602207165985888</v>
      </c>
      <c r="L270" s="16">
        <v>52.64442</v>
      </c>
      <c r="M270" s="24">
        <v>0.124029679996837</v>
      </c>
      <c r="N270" s="26">
        <v>2300</v>
      </c>
      <c r="O270" s="27" t="s">
        <v>93</v>
      </c>
      <c r="P270" s="1">
        <v>0</v>
      </c>
      <c r="Q270" s="1">
        <v>0</v>
      </c>
      <c r="R270" s="1">
        <v>0</v>
      </c>
      <c r="S270" s="1">
        <v>0</v>
      </c>
      <c r="T270" s="1">
        <v>1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6</v>
      </c>
      <c r="AF270" s="1">
        <v>31249</v>
      </c>
      <c r="AG270" s="33">
        <f t="shared" si="14"/>
        <v>0.000192006144196614</v>
      </c>
      <c r="AH270" s="1">
        <v>10</v>
      </c>
      <c r="AI270" s="1">
        <v>176</v>
      </c>
      <c r="AJ270" s="1">
        <v>31</v>
      </c>
    </row>
    <row r="271" s="2" customFormat="1" spans="1:36">
      <c r="A271" s="2" t="str">
        <f>VLOOKUP(B271,'[1]2. ISIC行业分类'!$A$2:$B$102,2,FALSE)</f>
        <v>C2825</v>
      </c>
      <c r="B271" s="14" t="s">
        <v>111</v>
      </c>
      <c r="C271" s="15" t="s">
        <v>43</v>
      </c>
      <c r="D271" s="16">
        <v>10.73529</v>
      </c>
      <c r="E271" s="16">
        <v>577.87277</v>
      </c>
      <c r="F271" s="17">
        <f t="shared" si="15"/>
        <v>0.0185772553359799</v>
      </c>
      <c r="G271" s="16">
        <v>135.30651</v>
      </c>
      <c r="H271" s="16">
        <v>449.21786</v>
      </c>
      <c r="I271" s="24">
        <v>0.301204653795377</v>
      </c>
      <c r="J271" s="25">
        <v>288.93122</v>
      </c>
      <c r="K271" s="24">
        <v>0.643187294467767</v>
      </c>
      <c r="L271" s="16">
        <v>57.85708</v>
      </c>
      <c r="M271" s="24">
        <v>0.128795146301619</v>
      </c>
      <c r="N271" s="26">
        <v>2400</v>
      </c>
      <c r="O271" s="27" t="s">
        <v>93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2</v>
      </c>
      <c r="AF271" s="1">
        <v>33768</v>
      </c>
      <c r="AG271" s="33">
        <f t="shared" si="14"/>
        <v>5.92276711679697e-5</v>
      </c>
      <c r="AH271" s="1">
        <v>9</v>
      </c>
      <c r="AI271" s="1">
        <v>175</v>
      </c>
      <c r="AJ271" s="1">
        <v>27</v>
      </c>
    </row>
    <row r="272" s="2" customFormat="1" spans="1:36">
      <c r="A272" s="2" t="str">
        <f>VLOOKUP(B272,'[1]2. ISIC行业分类'!$A$2:$B$102,2,FALSE)</f>
        <v>C2825</v>
      </c>
      <c r="B272" s="14" t="s">
        <v>111</v>
      </c>
      <c r="C272" s="15" t="s">
        <v>44</v>
      </c>
      <c r="D272" s="16">
        <v>10.67753</v>
      </c>
      <c r="E272" s="16">
        <v>599.75021</v>
      </c>
      <c r="F272" s="17">
        <f t="shared" si="15"/>
        <v>0.0178032951418225</v>
      </c>
      <c r="G272" s="16">
        <v>177.28398</v>
      </c>
      <c r="H272" s="16">
        <v>529.91467</v>
      </c>
      <c r="I272" s="24">
        <v>0.33455193833377</v>
      </c>
      <c r="J272" s="25">
        <v>357.84233</v>
      </c>
      <c r="K272" s="24">
        <v>0.675282928098594</v>
      </c>
      <c r="L272" s="16">
        <v>81.08731</v>
      </c>
      <c r="M272" s="24">
        <v>0.153019560677571</v>
      </c>
      <c r="N272" s="26">
        <v>2300</v>
      </c>
      <c r="O272" s="27" t="s">
        <v>93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34442</v>
      </c>
      <c r="AG272" s="33">
        <f t="shared" si="14"/>
        <v>0</v>
      </c>
      <c r="AH272" s="1">
        <v>1</v>
      </c>
      <c r="AI272" s="1">
        <v>4</v>
      </c>
      <c r="AJ272" s="1">
        <v>2</v>
      </c>
    </row>
    <row r="273" s="2" customFormat="1" spans="1:36">
      <c r="A273" s="2" t="str">
        <f>VLOOKUP(B273,'[1]2. ISIC行业分类'!$A$2:$B$102,2,FALSE)</f>
        <v>C2825</v>
      </c>
      <c r="B273" s="14" t="s">
        <v>111</v>
      </c>
      <c r="C273" s="15" t="s">
        <v>45</v>
      </c>
      <c r="D273" s="16">
        <v>13.27838</v>
      </c>
      <c r="E273" s="16">
        <v>702.12372</v>
      </c>
      <c r="F273" s="17">
        <f t="shared" si="15"/>
        <v>0.0189117382332561</v>
      </c>
      <c r="G273" s="16">
        <v>211.84059</v>
      </c>
      <c r="H273" s="16">
        <v>590.7614</v>
      </c>
      <c r="I273" s="24">
        <v>0.35858908520428</v>
      </c>
      <c r="J273" s="25">
        <v>381.49538</v>
      </c>
      <c r="K273" s="24">
        <v>0.645768968656381</v>
      </c>
      <c r="L273" s="16">
        <v>88.415</v>
      </c>
      <c r="M273" s="24">
        <v>0.149662791103143</v>
      </c>
      <c r="N273" s="26">
        <v>2600</v>
      </c>
      <c r="O273" s="27" t="s">
        <v>93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26721</v>
      </c>
      <c r="AG273" s="33">
        <f t="shared" si="14"/>
        <v>0</v>
      </c>
      <c r="AH273" s="1">
        <v>1</v>
      </c>
      <c r="AI273" s="1">
        <v>10</v>
      </c>
      <c r="AJ273" s="1">
        <v>2</v>
      </c>
    </row>
    <row r="274" s="2" customFormat="1" spans="1:36">
      <c r="A274" s="2" t="str">
        <f>VLOOKUP(B274,'[1]2. ISIC行业分类'!$A$2:$B$102,2,FALSE)</f>
        <v>C2100</v>
      </c>
      <c r="B274" s="14" t="s">
        <v>112</v>
      </c>
      <c r="C274" s="15" t="s">
        <v>39</v>
      </c>
      <c r="D274" s="16">
        <v>0</v>
      </c>
      <c r="E274" s="16">
        <v>132.12813</v>
      </c>
      <c r="F274" s="17">
        <f t="shared" si="15"/>
        <v>0</v>
      </c>
      <c r="G274" s="16">
        <v>28.72624</v>
      </c>
      <c r="H274" s="16">
        <v>120.57311</v>
      </c>
      <c r="I274" s="24">
        <v>0.238247483207491</v>
      </c>
      <c r="J274" s="25">
        <v>96.09672</v>
      </c>
      <c r="K274" s="24">
        <v>0.796999596344492</v>
      </c>
      <c r="L274" s="16">
        <v>16.07155</v>
      </c>
      <c r="M274" s="24">
        <v>0.133292987134528</v>
      </c>
      <c r="N274" s="26">
        <v>383</v>
      </c>
      <c r="O274" s="27" t="s">
        <v>58</v>
      </c>
      <c r="AH274" s="1">
        <v>3</v>
      </c>
      <c r="AI274" s="1">
        <v>43</v>
      </c>
      <c r="AJ274" s="1">
        <v>17</v>
      </c>
    </row>
    <row r="275" s="2" customFormat="1" spans="1:36">
      <c r="A275" s="2" t="str">
        <f>VLOOKUP(B275,'[1]2. ISIC行业分类'!$A$2:$B$102,2,FALSE)</f>
        <v>C2100</v>
      </c>
      <c r="B275" s="14" t="s">
        <v>112</v>
      </c>
      <c r="C275" s="15" t="s">
        <v>40</v>
      </c>
      <c r="D275" s="16">
        <v>0</v>
      </c>
      <c r="E275" s="16">
        <v>132.60056</v>
      </c>
      <c r="F275" s="17">
        <f t="shared" si="15"/>
        <v>0</v>
      </c>
      <c r="G275" s="16">
        <v>27.29627</v>
      </c>
      <c r="H275" s="16">
        <v>128.58296</v>
      </c>
      <c r="I275" s="24">
        <v>0.212285282591099</v>
      </c>
      <c r="J275" s="25">
        <v>97.23661</v>
      </c>
      <c r="K275" s="24">
        <v>0.756216920189114</v>
      </c>
      <c r="L275" s="16">
        <v>16.1915</v>
      </c>
      <c r="M275" s="24">
        <v>0.125922595031255</v>
      </c>
      <c r="N275" s="26">
        <v>376</v>
      </c>
      <c r="O275" s="27" t="s">
        <v>58</v>
      </c>
      <c r="AH275" s="1">
        <v>1</v>
      </c>
      <c r="AI275" s="1">
        <v>17</v>
      </c>
      <c r="AJ275" s="1">
        <v>4</v>
      </c>
    </row>
    <row r="276" s="2" customFormat="1" spans="1:36">
      <c r="A276" s="2" t="str">
        <f>VLOOKUP(B276,'[1]2. ISIC行业分类'!$A$2:$B$102,2,FALSE)</f>
        <v>C2100</v>
      </c>
      <c r="B276" s="14" t="s">
        <v>112</v>
      </c>
      <c r="C276" s="15" t="s">
        <v>41</v>
      </c>
      <c r="D276" s="16">
        <v>0</v>
      </c>
      <c r="E276" s="16">
        <v>136.93359</v>
      </c>
      <c r="F276" s="17">
        <f t="shared" si="15"/>
        <v>0</v>
      </c>
      <c r="G276" s="16">
        <v>27.00501</v>
      </c>
      <c r="H276" s="16">
        <v>143.09329</v>
      </c>
      <c r="I276" s="24">
        <v>0.188723105045666</v>
      </c>
      <c r="J276" s="25">
        <v>99.57006</v>
      </c>
      <c r="K276" s="24">
        <v>0.695840175314999</v>
      </c>
      <c r="L276" s="16">
        <v>16.42793</v>
      </c>
      <c r="M276" s="24">
        <v>0.114805732679708</v>
      </c>
      <c r="N276" s="26">
        <v>355</v>
      </c>
      <c r="O276" s="27" t="s">
        <v>58</v>
      </c>
      <c r="AH276" s="1">
        <v>1</v>
      </c>
      <c r="AI276" s="1">
        <v>10</v>
      </c>
      <c r="AJ276" s="1">
        <v>8</v>
      </c>
    </row>
    <row r="277" s="2" customFormat="1" spans="1:36">
      <c r="A277" s="2" t="str">
        <f>VLOOKUP(B277,'[1]2. ISIC行业分类'!$A$2:$B$102,2,FALSE)</f>
        <v>C2100</v>
      </c>
      <c r="B277" s="14" t="s">
        <v>112</v>
      </c>
      <c r="C277" s="15" t="s">
        <v>42</v>
      </c>
      <c r="D277" s="16">
        <v>0</v>
      </c>
      <c r="E277" s="16">
        <v>136.2342</v>
      </c>
      <c r="F277" s="17">
        <f t="shared" si="15"/>
        <v>0</v>
      </c>
      <c r="G277" s="16">
        <v>28.3975</v>
      </c>
      <c r="H277" s="16">
        <v>151.57832</v>
      </c>
      <c r="I277" s="24">
        <v>0.187345393457323</v>
      </c>
      <c r="J277" s="25">
        <v>96.5273</v>
      </c>
      <c r="K277" s="24">
        <v>0.636814684316332</v>
      </c>
      <c r="L277" s="16">
        <v>14.29936</v>
      </c>
      <c r="M277" s="24">
        <v>0.0943364460036237</v>
      </c>
      <c r="N277" s="26">
        <v>324</v>
      </c>
      <c r="O277" s="27" t="s">
        <v>58</v>
      </c>
      <c r="AH277" s="1">
        <v>3</v>
      </c>
      <c r="AI277" s="1">
        <v>52</v>
      </c>
      <c r="AJ277" s="1">
        <v>37</v>
      </c>
    </row>
    <row r="278" s="2" customFormat="1" spans="1:36">
      <c r="A278" s="2" t="str">
        <f>VLOOKUP(B278,'[1]2. ISIC行业分类'!$A$2:$B$102,2,FALSE)</f>
        <v>C2100</v>
      </c>
      <c r="B278" s="18" t="s">
        <v>112</v>
      </c>
      <c r="C278" s="19">
        <v>2019</v>
      </c>
      <c r="D278" s="20">
        <v>0</v>
      </c>
      <c r="E278" s="20">
        <v>143.54407</v>
      </c>
      <c r="F278" s="17">
        <f t="shared" si="15"/>
        <v>0</v>
      </c>
      <c r="G278" s="20">
        <v>28.31418</v>
      </c>
      <c r="H278" s="20">
        <v>159.83232</v>
      </c>
      <c r="I278" s="28">
        <v>0.17714927744276</v>
      </c>
      <c r="J278" s="29">
        <v>111.19062</v>
      </c>
      <c r="K278" s="28">
        <v>0.695670437618624</v>
      </c>
      <c r="L278" s="20">
        <v>12.56492</v>
      </c>
      <c r="M278" s="28">
        <v>0.0786131365671223</v>
      </c>
      <c r="N278" s="30">
        <v>332</v>
      </c>
      <c r="O278" s="31" t="s">
        <v>58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9788</v>
      </c>
      <c r="AG278" s="33">
        <f t="shared" ref="AG278:AG282" si="16">AE278/AF278</f>
        <v>0</v>
      </c>
      <c r="AH278" s="2">
        <v>0</v>
      </c>
      <c r="AI278" s="2">
        <v>0</v>
      </c>
      <c r="AJ278" s="2">
        <v>0</v>
      </c>
    </row>
    <row r="279" s="2" customFormat="1" spans="1:36">
      <c r="A279" s="2" t="str">
        <f>VLOOKUP(B279,'[1]2. ISIC行业分类'!$A$2:$B$102,2,FALSE)</f>
        <v>C2100</v>
      </c>
      <c r="B279" s="18" t="s">
        <v>112</v>
      </c>
      <c r="C279" s="19">
        <v>2020</v>
      </c>
      <c r="D279" s="20">
        <v>0</v>
      </c>
      <c r="E279" s="20">
        <v>196.62051</v>
      </c>
      <c r="F279" s="17">
        <f t="shared" si="15"/>
        <v>0</v>
      </c>
      <c r="G279" s="20">
        <v>47.34558</v>
      </c>
      <c r="H279" s="20">
        <v>204.67703</v>
      </c>
      <c r="I279" s="28">
        <v>0.231318482586932</v>
      </c>
      <c r="J279" s="29">
        <v>108.55835</v>
      </c>
      <c r="K279" s="28">
        <v>0.530388534561011</v>
      </c>
      <c r="L279" s="20">
        <v>20.14693</v>
      </c>
      <c r="M279" s="28">
        <v>0.0984327845679606</v>
      </c>
      <c r="N279" s="30">
        <v>327</v>
      </c>
      <c r="O279" s="31" t="s">
        <v>58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9448</v>
      </c>
      <c r="AG279" s="33">
        <f t="shared" si="16"/>
        <v>0</v>
      </c>
      <c r="AH279" s="2">
        <v>0</v>
      </c>
      <c r="AI279" s="2">
        <v>0</v>
      </c>
      <c r="AJ279" s="2">
        <v>0</v>
      </c>
    </row>
    <row r="280" s="2" customFormat="1" spans="1:36">
      <c r="A280" s="2" t="str">
        <f>VLOOKUP(B280,'[1]2. ISIC行业分类'!$A$2:$B$102,2,FALSE)</f>
        <v>C2100</v>
      </c>
      <c r="B280" s="14" t="s">
        <v>112</v>
      </c>
      <c r="C280" s="15" t="s">
        <v>45</v>
      </c>
      <c r="D280" s="16">
        <v>0</v>
      </c>
      <c r="E280" s="16">
        <v>158.84205</v>
      </c>
      <c r="F280" s="17">
        <f t="shared" si="15"/>
        <v>0</v>
      </c>
      <c r="G280" s="16">
        <v>39.68583</v>
      </c>
      <c r="H280" s="16">
        <v>189.97817</v>
      </c>
      <c r="I280" s="24">
        <v>0.208896790615469</v>
      </c>
      <c r="J280" s="25">
        <v>127.79368</v>
      </c>
      <c r="K280" s="24">
        <v>0.672675602675823</v>
      </c>
      <c r="L280" s="16">
        <v>6.81103</v>
      </c>
      <c r="M280" s="24">
        <v>0.0358516454811624</v>
      </c>
      <c r="N280" s="26">
        <v>307</v>
      </c>
      <c r="O280" s="27" t="s">
        <v>58</v>
      </c>
      <c r="P280" s="1">
        <v>1</v>
      </c>
      <c r="Q280" s="1">
        <v>0</v>
      </c>
      <c r="R280" s="1">
        <v>0</v>
      </c>
      <c r="S280" s="1">
        <v>0</v>
      </c>
      <c r="T280" s="1">
        <v>1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4</v>
      </c>
      <c r="AF280" s="1">
        <v>9471</v>
      </c>
      <c r="AG280" s="33">
        <f t="shared" si="16"/>
        <v>0.00042234188575652</v>
      </c>
      <c r="AH280" s="1">
        <v>1</v>
      </c>
      <c r="AI280" s="1">
        <v>7</v>
      </c>
      <c r="AJ280" s="1">
        <v>0</v>
      </c>
    </row>
    <row r="281" s="2" customFormat="1" spans="1:36">
      <c r="A281" s="2" t="str">
        <f>VLOOKUP(B281,'[1]2. ISIC行业分类'!$A$2:$B$102,2,FALSE)</f>
        <v>C2829</v>
      </c>
      <c r="B281" s="14" t="s">
        <v>113</v>
      </c>
      <c r="C281" s="15" t="s">
        <v>41</v>
      </c>
      <c r="D281" s="16">
        <v>24.7675428</v>
      </c>
      <c r="E281" s="16">
        <v>247.00599</v>
      </c>
      <c r="F281" s="17">
        <f t="shared" si="15"/>
        <v>0.100271020957832</v>
      </c>
      <c r="G281" s="16">
        <v>0</v>
      </c>
      <c r="H281" s="16">
        <v>0</v>
      </c>
      <c r="I281" s="24" t="e">
        <v>#DIV/0!</v>
      </c>
      <c r="J281" s="25">
        <v>0</v>
      </c>
      <c r="K281" s="24" t="e">
        <v>#DIV/0!</v>
      </c>
      <c r="L281" s="16">
        <v>11.86912</v>
      </c>
      <c r="M281" s="24" t="e">
        <v>#DIV/0!</v>
      </c>
      <c r="N281" s="26">
        <v>0</v>
      </c>
      <c r="O281" s="27" t="s">
        <v>114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33"/>
      <c r="AH281" s="1">
        <v>5</v>
      </c>
      <c r="AI281" s="1">
        <v>94</v>
      </c>
      <c r="AJ281" s="1">
        <v>34</v>
      </c>
    </row>
    <row r="282" s="2" customFormat="1" spans="1:36">
      <c r="A282" s="2" t="str">
        <f>VLOOKUP(B282,'[1]2. ISIC行业分类'!$A$2:$B$102,2,FALSE)</f>
        <v>C2829</v>
      </c>
      <c r="B282" s="14" t="s">
        <v>113</v>
      </c>
      <c r="C282" s="15" t="s">
        <v>42</v>
      </c>
      <c r="D282" s="16">
        <v>28.855373</v>
      </c>
      <c r="E282" s="16">
        <v>316.6527</v>
      </c>
      <c r="F282" s="17">
        <f t="shared" si="15"/>
        <v>0.0911262496735382</v>
      </c>
      <c r="G282" s="16">
        <v>141.39953</v>
      </c>
      <c r="H282" s="16">
        <v>289.55895</v>
      </c>
      <c r="I282" s="24">
        <v>0.4883272646209</v>
      </c>
      <c r="J282" s="25">
        <v>144.18012</v>
      </c>
      <c r="K282" s="24">
        <v>0.497930110604421</v>
      </c>
      <c r="L282" s="16">
        <v>17.53357</v>
      </c>
      <c r="M282" s="24">
        <v>0.0605526784787692</v>
      </c>
      <c r="N282" s="26">
        <v>0</v>
      </c>
      <c r="O282" s="27" t="s">
        <v>114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2</v>
      </c>
      <c r="AF282" s="1">
        <v>24354</v>
      </c>
      <c r="AG282" s="33">
        <f t="shared" ref="AG282:AG299" si="17">AE282/AF282</f>
        <v>8.21220333415455e-5</v>
      </c>
      <c r="AH282" s="1">
        <v>6</v>
      </c>
      <c r="AI282" s="1">
        <v>115</v>
      </c>
      <c r="AJ282" s="1">
        <v>9</v>
      </c>
    </row>
    <row r="283" s="2" customFormat="1" spans="1:36">
      <c r="A283" s="2" t="str">
        <f>VLOOKUP(B283,'[1]2. ISIC行业分类'!$A$2:$B$102,2,FALSE)</f>
        <v>C2829</v>
      </c>
      <c r="B283" s="14" t="s">
        <v>113</v>
      </c>
      <c r="C283" s="15" t="s">
        <v>43</v>
      </c>
      <c r="D283" s="16">
        <v>27.884506</v>
      </c>
      <c r="E283" s="16">
        <v>312.24916</v>
      </c>
      <c r="F283" s="17">
        <f t="shared" si="15"/>
        <v>0.0893021009247871</v>
      </c>
      <c r="G283" s="16">
        <v>103.70819</v>
      </c>
      <c r="H283" s="16">
        <v>286.6128</v>
      </c>
      <c r="I283" s="24">
        <v>0.361840748215013</v>
      </c>
      <c r="J283" s="25">
        <v>137.60157</v>
      </c>
      <c r="K283" s="24">
        <v>0.480095690073856</v>
      </c>
      <c r="L283" s="16">
        <v>21.56678</v>
      </c>
      <c r="M283" s="24">
        <v>0.0752470929421156</v>
      </c>
      <c r="N283" s="26">
        <v>1310</v>
      </c>
      <c r="O283" s="27" t="s">
        <v>114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1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8</v>
      </c>
      <c r="AF283" s="1">
        <v>25329</v>
      </c>
      <c r="AG283" s="33">
        <f t="shared" si="17"/>
        <v>0.000315843499545975</v>
      </c>
      <c r="AH283" s="1">
        <v>6</v>
      </c>
      <c r="AI283" s="1">
        <v>62</v>
      </c>
      <c r="AJ283" s="1">
        <v>20</v>
      </c>
    </row>
    <row r="284" s="2" customFormat="1" spans="1:36">
      <c r="A284" s="2" t="str">
        <f>VLOOKUP(B284,'[1]2. ISIC行业分类'!$A$2:$B$102,2,FALSE)</f>
        <v>C2829</v>
      </c>
      <c r="B284" s="14" t="s">
        <v>113</v>
      </c>
      <c r="C284" s="15" t="s">
        <v>44</v>
      </c>
      <c r="D284" s="16">
        <v>24.10042</v>
      </c>
      <c r="E284" s="16">
        <v>233.06923</v>
      </c>
      <c r="F284" s="17">
        <f t="shared" si="15"/>
        <v>0.103404554947043</v>
      </c>
      <c r="G284" s="16">
        <v>124.53517</v>
      </c>
      <c r="H284" s="16">
        <v>269.11648</v>
      </c>
      <c r="I284" s="24">
        <v>0.462755643950159</v>
      </c>
      <c r="J284" s="25">
        <v>137.03626</v>
      </c>
      <c r="K284" s="24">
        <v>0.509207983100849</v>
      </c>
      <c r="L284" s="16">
        <v>-27.86374</v>
      </c>
      <c r="M284" s="24">
        <v>-0.103537843538976</v>
      </c>
      <c r="N284" s="26">
        <v>1251</v>
      </c>
      <c r="O284" s="27" t="s">
        <v>114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25010</v>
      </c>
      <c r="AG284" s="33">
        <f t="shared" si="17"/>
        <v>0</v>
      </c>
      <c r="AH284" s="1">
        <v>1</v>
      </c>
      <c r="AI284" s="1">
        <v>10</v>
      </c>
      <c r="AJ284" s="1">
        <v>0</v>
      </c>
    </row>
    <row r="285" s="2" customFormat="1" spans="1:36">
      <c r="A285" s="2" t="str">
        <f>VLOOKUP(B285,'[1]2. ISIC行业分类'!$A$2:$B$102,2,FALSE)</f>
        <v>C2822</v>
      </c>
      <c r="B285" s="14" t="s">
        <v>115</v>
      </c>
      <c r="C285" s="15" t="s">
        <v>37</v>
      </c>
      <c r="D285" s="16">
        <v>28.173168</v>
      </c>
      <c r="E285" s="16">
        <v>365.54723</v>
      </c>
      <c r="F285" s="17">
        <f t="shared" si="15"/>
        <v>0.0770712118376605</v>
      </c>
      <c r="G285" s="16">
        <v>102.56302</v>
      </c>
      <c r="H285" s="16">
        <v>390.64589</v>
      </c>
      <c r="I285" s="24">
        <v>0.262547290590975</v>
      </c>
      <c r="J285" s="25">
        <v>132.20484</v>
      </c>
      <c r="K285" s="24">
        <v>0.338426291903391</v>
      </c>
      <c r="L285" s="16">
        <v>27.31839</v>
      </c>
      <c r="M285" s="24">
        <v>0.0699313385839027</v>
      </c>
      <c r="N285" s="26">
        <v>1498</v>
      </c>
      <c r="O285" s="27" t="s">
        <v>64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1</v>
      </c>
      <c r="AB285" s="1">
        <v>0</v>
      </c>
      <c r="AC285" s="1">
        <v>0</v>
      </c>
      <c r="AD285" s="1">
        <v>0</v>
      </c>
      <c r="AE285" s="1">
        <v>4</v>
      </c>
      <c r="AF285" s="1">
        <v>37720</v>
      </c>
      <c r="AG285" s="33">
        <f t="shared" si="17"/>
        <v>0.000106044538706257</v>
      </c>
      <c r="AH285" s="1">
        <v>8</v>
      </c>
      <c r="AI285" s="1">
        <v>133</v>
      </c>
      <c r="AJ285" s="1">
        <v>101</v>
      </c>
    </row>
    <row r="286" s="2" customFormat="1" spans="1:36">
      <c r="A286" s="2" t="str">
        <f>VLOOKUP(B286,'[1]2. ISIC行业分类'!$A$2:$B$102,2,FALSE)</f>
        <v>C2822</v>
      </c>
      <c r="B286" s="14" t="s">
        <v>115</v>
      </c>
      <c r="C286" s="15" t="s">
        <v>39</v>
      </c>
      <c r="D286" s="16">
        <v>27.73576</v>
      </c>
      <c r="E286" s="16">
        <v>314.48348</v>
      </c>
      <c r="F286" s="17">
        <f t="shared" si="15"/>
        <v>0.0881946485710474</v>
      </c>
      <c r="G286" s="16">
        <v>115.69301</v>
      </c>
      <c r="H286" s="16">
        <v>398.48483</v>
      </c>
      <c r="I286" s="24">
        <v>0.29033228190895</v>
      </c>
      <c r="J286" s="25">
        <v>134.17465</v>
      </c>
      <c r="K286" s="24">
        <v>0.336712065049001</v>
      </c>
      <c r="L286" s="16">
        <v>29.17969</v>
      </c>
      <c r="M286" s="24">
        <v>0.0732266018759108</v>
      </c>
      <c r="N286" s="26">
        <v>1580</v>
      </c>
      <c r="O286" s="27" t="s">
        <v>64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1</v>
      </c>
      <c r="AB286" s="1">
        <v>0</v>
      </c>
      <c r="AC286" s="1">
        <v>0</v>
      </c>
      <c r="AD286" s="1">
        <v>0</v>
      </c>
      <c r="AE286" s="1">
        <v>6</v>
      </c>
      <c r="AF286" s="1">
        <v>38650</v>
      </c>
      <c r="AG286" s="33">
        <f t="shared" si="17"/>
        <v>0.000155239327296248</v>
      </c>
      <c r="AH286" s="1">
        <v>5</v>
      </c>
      <c r="AI286" s="1">
        <v>111</v>
      </c>
      <c r="AJ286" s="1">
        <v>76</v>
      </c>
    </row>
    <row r="287" s="2" customFormat="1" spans="1:36">
      <c r="A287" s="2" t="str">
        <f>VLOOKUP(B287,'[1]2. ISIC行业分类'!$A$2:$B$102,2,FALSE)</f>
        <v>C2822</v>
      </c>
      <c r="B287" s="14" t="s">
        <v>115</v>
      </c>
      <c r="C287" s="15" t="s">
        <v>40</v>
      </c>
      <c r="D287" s="16">
        <v>29.507065</v>
      </c>
      <c r="E287" s="16">
        <v>385.00955</v>
      </c>
      <c r="F287" s="17">
        <f t="shared" si="15"/>
        <v>0.0766398262069084</v>
      </c>
      <c r="G287" s="16">
        <v>109.1634</v>
      </c>
      <c r="H287" s="16">
        <v>351.51312</v>
      </c>
      <c r="I287" s="24">
        <v>0.310552846505416</v>
      </c>
      <c r="J287" s="25">
        <v>145.81996</v>
      </c>
      <c r="K287" s="24">
        <v>0.414835042288038</v>
      </c>
      <c r="L287" s="16">
        <v>38.10175</v>
      </c>
      <c r="M287" s="24">
        <v>0.108393535922642</v>
      </c>
      <c r="N287" s="26">
        <v>1633</v>
      </c>
      <c r="O287" s="27" t="s">
        <v>64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1</v>
      </c>
      <c r="AB287" s="1">
        <v>0</v>
      </c>
      <c r="AC287" s="1">
        <v>0</v>
      </c>
      <c r="AD287" s="1">
        <v>0</v>
      </c>
      <c r="AE287" s="1">
        <v>4</v>
      </c>
      <c r="AF287" s="1">
        <v>41604</v>
      </c>
      <c r="AG287" s="33">
        <f t="shared" si="17"/>
        <v>9.61446014806269e-5</v>
      </c>
      <c r="AH287" s="1">
        <v>12</v>
      </c>
      <c r="AI287" s="1">
        <v>209</v>
      </c>
      <c r="AJ287" s="1">
        <v>75</v>
      </c>
    </row>
    <row r="288" s="2" customFormat="1" spans="1:36">
      <c r="A288" s="2" t="str">
        <f>VLOOKUP(B288,'[1]2. ISIC行业分类'!$A$2:$B$102,2,FALSE)</f>
        <v>C2822</v>
      </c>
      <c r="B288" s="14" t="s">
        <v>115</v>
      </c>
      <c r="C288" s="15" t="s">
        <v>41</v>
      </c>
      <c r="D288" s="16">
        <v>37.40136</v>
      </c>
      <c r="E288" s="16">
        <v>418.74795</v>
      </c>
      <c r="F288" s="17">
        <f t="shared" si="15"/>
        <v>0.089317117850965</v>
      </c>
      <c r="G288" s="16">
        <v>160.35955</v>
      </c>
      <c r="H288" s="16">
        <v>425.27705</v>
      </c>
      <c r="I288" s="24">
        <v>0.377070782446408</v>
      </c>
      <c r="J288" s="25">
        <v>167.83882</v>
      </c>
      <c r="K288" s="24">
        <v>0.39465760026317</v>
      </c>
      <c r="L288" s="16">
        <v>43.20001</v>
      </c>
      <c r="M288" s="24">
        <v>0.101580863580576</v>
      </c>
      <c r="N288" s="26">
        <v>1841</v>
      </c>
      <c r="O288" s="27" t="s">
        <v>64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1</v>
      </c>
      <c r="AB288" s="1">
        <v>0</v>
      </c>
      <c r="AC288" s="1">
        <v>0</v>
      </c>
      <c r="AD288" s="1">
        <v>0</v>
      </c>
      <c r="AE288" s="1">
        <v>6</v>
      </c>
      <c r="AF288" s="1">
        <v>34428</v>
      </c>
      <c r="AG288" s="33">
        <f t="shared" si="17"/>
        <v>0.000174276751481352</v>
      </c>
      <c r="AH288" s="1">
        <v>15</v>
      </c>
      <c r="AI288" s="1">
        <v>261</v>
      </c>
      <c r="AJ288" s="1">
        <v>41</v>
      </c>
    </row>
    <row r="289" s="2" customFormat="1" spans="1:36">
      <c r="A289" s="2" t="str">
        <f>VLOOKUP(B289,'[1]2. ISIC行业分类'!$A$2:$B$102,2,FALSE)</f>
        <v>C2822</v>
      </c>
      <c r="B289" s="14" t="s">
        <v>115</v>
      </c>
      <c r="C289" s="15" t="s">
        <v>42</v>
      </c>
      <c r="D289" s="16">
        <v>41.87202</v>
      </c>
      <c r="E289" s="16">
        <v>486.05126</v>
      </c>
      <c r="F289" s="17">
        <f t="shared" si="15"/>
        <v>0.0861473335137533</v>
      </c>
      <c r="G289" s="16">
        <v>184.21887</v>
      </c>
      <c r="H289" s="16">
        <v>470.45002</v>
      </c>
      <c r="I289" s="24">
        <v>0.391580108764795</v>
      </c>
      <c r="J289" s="25">
        <v>197.86475</v>
      </c>
      <c r="K289" s="24">
        <v>0.420586123048735</v>
      </c>
      <c r="L289" s="16">
        <v>52.63121</v>
      </c>
      <c r="M289" s="24">
        <v>0.111874179535586</v>
      </c>
      <c r="N289" s="26">
        <v>2006</v>
      </c>
      <c r="O289" s="27" t="s">
        <v>64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1</v>
      </c>
      <c r="AB289" s="1">
        <v>0</v>
      </c>
      <c r="AC289" s="1">
        <v>0</v>
      </c>
      <c r="AD289" s="1">
        <v>0</v>
      </c>
      <c r="AE289" s="1">
        <v>8</v>
      </c>
      <c r="AF289" s="1">
        <v>34520</v>
      </c>
      <c r="AG289" s="33">
        <f t="shared" si="17"/>
        <v>0.000231749710312862</v>
      </c>
      <c r="AH289" s="1">
        <v>8</v>
      </c>
      <c r="AI289" s="1">
        <v>106</v>
      </c>
      <c r="AJ289" s="1">
        <v>26</v>
      </c>
    </row>
    <row r="290" s="2" customFormat="1" spans="1:36">
      <c r="A290" s="2" t="str">
        <f>VLOOKUP(B290,'[1]2. ISIC行业分类'!$A$2:$B$102,2,FALSE)</f>
        <v>C2822</v>
      </c>
      <c r="B290" s="14" t="s">
        <v>115</v>
      </c>
      <c r="C290" s="15" t="s">
        <v>43</v>
      </c>
      <c r="D290" s="16">
        <v>41.94631</v>
      </c>
      <c r="E290" s="16">
        <v>430.31833</v>
      </c>
      <c r="F290" s="17">
        <f t="shared" si="15"/>
        <v>0.0974773953970308</v>
      </c>
      <c r="G290" s="16">
        <v>244.33087</v>
      </c>
      <c r="H290" s="16">
        <v>496.8931</v>
      </c>
      <c r="I290" s="24">
        <v>0.491717172164395</v>
      </c>
      <c r="J290" s="25">
        <v>255.79201</v>
      </c>
      <c r="K290" s="24">
        <v>0.514782777221096</v>
      </c>
      <c r="L290" s="16">
        <v>13.65115</v>
      </c>
      <c r="M290" s="24">
        <v>0.0274730118007274</v>
      </c>
      <c r="N290" s="26">
        <v>2211</v>
      </c>
      <c r="O290" s="27" t="s">
        <v>64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1</v>
      </c>
      <c r="AB290" s="1">
        <v>0</v>
      </c>
      <c r="AC290" s="1">
        <v>0</v>
      </c>
      <c r="AD290" s="1">
        <v>0</v>
      </c>
      <c r="AE290" s="1">
        <v>8</v>
      </c>
      <c r="AF290" s="1">
        <v>34412</v>
      </c>
      <c r="AG290" s="33">
        <f t="shared" si="17"/>
        <v>0.000232477042892014</v>
      </c>
      <c r="AH290" s="1">
        <v>7</v>
      </c>
      <c r="AI290" s="1">
        <v>124</v>
      </c>
      <c r="AJ290" s="1">
        <v>13</v>
      </c>
    </row>
    <row r="291" s="2" customFormat="1" spans="1:36">
      <c r="A291" s="2" t="str">
        <f>VLOOKUP(B291,'[1]2. ISIC行业分类'!$A$2:$B$102,2,FALSE)</f>
        <v>C2822</v>
      </c>
      <c r="B291" s="14" t="s">
        <v>115</v>
      </c>
      <c r="C291" s="15" t="s">
        <v>44</v>
      </c>
      <c r="D291" s="16">
        <v>31.83892</v>
      </c>
      <c r="E291" s="16">
        <v>365.3744</v>
      </c>
      <c r="F291" s="17">
        <f t="shared" si="15"/>
        <v>0.0871405331079572</v>
      </c>
      <c r="G291" s="16">
        <v>243.68805</v>
      </c>
      <c r="H291" s="16">
        <v>510.97937</v>
      </c>
      <c r="I291" s="24">
        <v>0.476903891442819</v>
      </c>
      <c r="J291" s="25">
        <v>300.58548</v>
      </c>
      <c r="K291" s="24">
        <v>0.588253651023132</v>
      </c>
      <c r="L291" s="16">
        <v>-1.49082</v>
      </c>
      <c r="M291" s="24">
        <v>-0.00291757375645126</v>
      </c>
      <c r="N291" s="26">
        <v>2095</v>
      </c>
      <c r="O291" s="27" t="s">
        <v>64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1</v>
      </c>
      <c r="AB291" s="1">
        <v>0</v>
      </c>
      <c r="AC291" s="1">
        <v>0</v>
      </c>
      <c r="AD291" s="1">
        <v>0</v>
      </c>
      <c r="AE291" s="1">
        <v>8</v>
      </c>
      <c r="AF291" s="1">
        <v>35403</v>
      </c>
      <c r="AG291" s="33">
        <f t="shared" si="17"/>
        <v>0.000225969550603056</v>
      </c>
      <c r="AH291" s="1">
        <v>7</v>
      </c>
      <c r="AI291" s="1">
        <v>52</v>
      </c>
      <c r="AJ291" s="1">
        <v>4</v>
      </c>
    </row>
    <row r="292" s="2" customFormat="1" spans="1:36">
      <c r="A292" s="2" t="str">
        <f>VLOOKUP(B292,'[1]2. ISIC行业分类'!$A$2:$B$102,2,FALSE)</f>
        <v>C2822</v>
      </c>
      <c r="B292" s="14" t="s">
        <v>115</v>
      </c>
      <c r="C292" s="15" t="s">
        <v>45</v>
      </c>
      <c r="D292" s="16">
        <v>44.76194</v>
      </c>
      <c r="E292" s="16">
        <v>458.22227</v>
      </c>
      <c r="F292" s="17">
        <f t="shared" si="15"/>
        <v>0.0976860858377748</v>
      </c>
      <c r="G292" s="16">
        <v>274.22582</v>
      </c>
      <c r="H292" s="16">
        <v>564.815</v>
      </c>
      <c r="I292" s="24">
        <v>0.485514407372325</v>
      </c>
      <c r="J292" s="25">
        <v>286.77834</v>
      </c>
      <c r="K292" s="24">
        <v>0.507738533856218</v>
      </c>
      <c r="L292" s="16">
        <v>33.32017</v>
      </c>
      <c r="M292" s="24">
        <v>0.0589930685268628</v>
      </c>
      <c r="N292" s="26">
        <v>2121</v>
      </c>
      <c r="O292" s="27" t="s">
        <v>64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1</v>
      </c>
      <c r="AB292" s="1">
        <v>0</v>
      </c>
      <c r="AC292" s="1">
        <v>0</v>
      </c>
      <c r="AD292" s="1">
        <v>0</v>
      </c>
      <c r="AE292" s="1">
        <v>8</v>
      </c>
      <c r="AF292" s="1">
        <v>34995</v>
      </c>
      <c r="AG292" s="33">
        <f t="shared" si="17"/>
        <v>0.000228604086298043</v>
      </c>
      <c r="AH292" s="1">
        <v>3</v>
      </c>
      <c r="AI292" s="1">
        <v>20</v>
      </c>
      <c r="AJ292" s="1">
        <v>4</v>
      </c>
    </row>
    <row r="293" s="2" customFormat="1" spans="1:36">
      <c r="A293" s="2" t="str">
        <f>VLOOKUP(B293,'[1]2. ISIC行业分类'!$A$2:$B$102,2,FALSE)</f>
        <v>J6190</v>
      </c>
      <c r="B293" s="14" t="s">
        <v>116</v>
      </c>
      <c r="C293" s="15" t="s">
        <v>37</v>
      </c>
      <c r="D293" s="16">
        <v>213.531759</v>
      </c>
      <c r="E293" s="16">
        <v>877.19357</v>
      </c>
      <c r="F293" s="17">
        <f t="shared" si="15"/>
        <v>0.243426042213237</v>
      </c>
      <c r="G293" s="16">
        <v>598.34602</v>
      </c>
      <c r="H293" s="16">
        <v>1054.82101</v>
      </c>
      <c r="I293" s="24">
        <v>0.567248864335761</v>
      </c>
      <c r="J293" s="25">
        <v>308.04945</v>
      </c>
      <c r="K293" s="24">
        <v>0.292039547069697</v>
      </c>
      <c r="L293" s="16">
        <v>26.20198</v>
      </c>
      <c r="M293" s="24">
        <v>0.0248402143601596</v>
      </c>
      <c r="N293" s="26">
        <v>0</v>
      </c>
      <c r="O293" s="27" t="s">
        <v>117</v>
      </c>
      <c r="P293" s="1">
        <v>0</v>
      </c>
      <c r="Q293" s="1">
        <v>0</v>
      </c>
      <c r="R293" s="1">
        <v>0</v>
      </c>
      <c r="S293" s="1">
        <v>0</v>
      </c>
      <c r="T293" s="1">
        <v>2</v>
      </c>
      <c r="U293" s="1">
        <v>0</v>
      </c>
      <c r="V293" s="1">
        <v>2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8</v>
      </c>
      <c r="AF293" s="1">
        <v>38085</v>
      </c>
      <c r="AG293" s="33">
        <f t="shared" si="17"/>
        <v>0.000210056452671655</v>
      </c>
      <c r="AH293" s="1">
        <v>31</v>
      </c>
      <c r="AI293" s="1">
        <v>722</v>
      </c>
      <c r="AJ293" s="1">
        <v>259</v>
      </c>
    </row>
    <row r="294" s="2" customFormat="1" spans="1:36">
      <c r="A294" s="2" t="str">
        <f>VLOOKUP(B294,'[1]2. ISIC行业分类'!$A$2:$B$102,2,FALSE)</f>
        <v>J6190</v>
      </c>
      <c r="B294" s="14" t="s">
        <v>116</v>
      </c>
      <c r="C294" s="15" t="s">
        <v>39</v>
      </c>
      <c r="D294" s="16">
        <v>200.28112</v>
      </c>
      <c r="E294" s="16">
        <v>938.45847</v>
      </c>
      <c r="F294" s="17">
        <f t="shared" si="15"/>
        <v>0.213415005993819</v>
      </c>
      <c r="G294" s="16">
        <v>641.67757</v>
      </c>
      <c r="H294" s="16">
        <v>1088.14435</v>
      </c>
      <c r="I294" s="24">
        <v>0.589698940218731</v>
      </c>
      <c r="J294" s="25">
        <v>311.75578</v>
      </c>
      <c r="K294" s="24">
        <v>0.286502227392901</v>
      </c>
      <c r="L294" s="16">
        <v>44.36732</v>
      </c>
      <c r="M294" s="24">
        <v>0.0407733771718798</v>
      </c>
      <c r="N294" s="26">
        <v>0</v>
      </c>
      <c r="O294" s="27" t="s">
        <v>117</v>
      </c>
      <c r="P294" s="1">
        <v>0</v>
      </c>
      <c r="Q294" s="1">
        <v>1</v>
      </c>
      <c r="R294" s="1">
        <v>0</v>
      </c>
      <c r="S294" s="1">
        <v>0</v>
      </c>
      <c r="T294" s="1">
        <v>0</v>
      </c>
      <c r="U294" s="1">
        <v>0</v>
      </c>
      <c r="V294" s="1">
        <v>1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4</v>
      </c>
      <c r="AF294" s="1">
        <v>39923</v>
      </c>
      <c r="AG294" s="33">
        <f t="shared" si="17"/>
        <v>0.000100192871277209</v>
      </c>
      <c r="AH294" s="1">
        <v>28</v>
      </c>
      <c r="AI294" s="1">
        <v>528</v>
      </c>
      <c r="AJ294" s="1">
        <v>286</v>
      </c>
    </row>
    <row r="295" s="2" customFormat="1" spans="1:36">
      <c r="A295" s="2" t="str">
        <f>VLOOKUP(B295,'[1]2. ISIC行业分类'!$A$2:$B$102,2,FALSE)</f>
        <v>J6190</v>
      </c>
      <c r="B295" s="14" t="s">
        <v>116</v>
      </c>
      <c r="C295" s="15" t="s">
        <v>40</v>
      </c>
      <c r="D295" s="16">
        <v>189.54719</v>
      </c>
      <c r="E295" s="16">
        <v>984.379</v>
      </c>
      <c r="F295" s="17">
        <f t="shared" si="15"/>
        <v>0.192555093109463</v>
      </c>
      <c r="G295" s="16">
        <v>753.709</v>
      </c>
      <c r="H295" s="16">
        <v>1245.327</v>
      </c>
      <c r="I295" s="24">
        <v>0.605229791050864</v>
      </c>
      <c r="J295" s="25">
        <v>331.365</v>
      </c>
      <c r="K295" s="24">
        <v>0.266086738663821</v>
      </c>
      <c r="L295" s="16">
        <v>63.62</v>
      </c>
      <c r="M295" s="24">
        <v>0.0510869835794133</v>
      </c>
      <c r="N295" s="26">
        <v>0</v>
      </c>
      <c r="O295" s="27" t="s">
        <v>117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52319</v>
      </c>
      <c r="AG295" s="33">
        <f t="shared" si="17"/>
        <v>0</v>
      </c>
      <c r="AH295" s="1">
        <v>30</v>
      </c>
      <c r="AI295" s="1">
        <v>1119</v>
      </c>
      <c r="AJ295" s="1">
        <v>185</v>
      </c>
    </row>
    <row r="296" s="2" customFormat="1" spans="1:36">
      <c r="A296" s="2" t="str">
        <f>VLOOKUP(B296,'[1]2. ISIC行业分类'!$A$2:$B$102,2,FALSE)</f>
        <v>J6190</v>
      </c>
      <c r="B296" s="14" t="s">
        <v>116</v>
      </c>
      <c r="C296" s="15" t="s">
        <v>41</v>
      </c>
      <c r="D296" s="16">
        <v>193.35324</v>
      </c>
      <c r="E296" s="16">
        <v>993.039</v>
      </c>
      <c r="F296" s="17">
        <f t="shared" si="15"/>
        <v>0.194708606610617</v>
      </c>
      <c r="G296" s="16">
        <v>794.808</v>
      </c>
      <c r="H296" s="16">
        <v>1286.433</v>
      </c>
      <c r="I296" s="24">
        <v>0.617838628206832</v>
      </c>
      <c r="J296" s="25">
        <v>334.37</v>
      </c>
      <c r="K296" s="24">
        <v>0.259920260130143</v>
      </c>
      <c r="L296" s="16">
        <v>-14.77</v>
      </c>
      <c r="M296" s="24">
        <v>-0.0114813596977068</v>
      </c>
      <c r="N296" s="26">
        <v>0</v>
      </c>
      <c r="O296" s="27" t="s">
        <v>117</v>
      </c>
      <c r="P296" s="1">
        <v>9</v>
      </c>
      <c r="Q296" s="1">
        <v>0</v>
      </c>
      <c r="R296" s="1">
        <v>0</v>
      </c>
      <c r="S296" s="1">
        <v>0</v>
      </c>
      <c r="T296" s="1">
        <v>6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30</v>
      </c>
      <c r="AF296" s="1">
        <v>43385</v>
      </c>
      <c r="AG296" s="33">
        <f t="shared" si="17"/>
        <v>0.000691483231531635</v>
      </c>
      <c r="AH296" s="1">
        <v>24</v>
      </c>
      <c r="AI296" s="1">
        <v>395</v>
      </c>
      <c r="AJ296" s="1">
        <v>85</v>
      </c>
    </row>
    <row r="297" s="2" customFormat="1" spans="1:36">
      <c r="A297" s="2" t="str">
        <f>VLOOKUP(B297,'[1]2. ISIC行业分类'!$A$2:$B$102,2,FALSE)</f>
        <v>J6190</v>
      </c>
      <c r="B297" s="14" t="s">
        <v>116</v>
      </c>
      <c r="C297" s="15" t="s">
        <v>42</v>
      </c>
      <c r="D297" s="16">
        <v>165.88158</v>
      </c>
      <c r="E297" s="16">
        <v>908.205</v>
      </c>
      <c r="F297" s="17">
        <f t="shared" si="15"/>
        <v>0.182647728211142</v>
      </c>
      <c r="G297" s="16">
        <v>794.853</v>
      </c>
      <c r="H297" s="16">
        <v>1238.014</v>
      </c>
      <c r="I297" s="24">
        <v>0.642038781467738</v>
      </c>
      <c r="J297" s="25">
        <v>260.93</v>
      </c>
      <c r="K297" s="24">
        <v>0.210764983271595</v>
      </c>
      <c r="L297" s="16">
        <v>-28.453</v>
      </c>
      <c r="M297" s="24">
        <v>-0.0229827772545383</v>
      </c>
      <c r="N297" s="26">
        <v>0</v>
      </c>
      <c r="O297" s="27" t="s">
        <v>117</v>
      </c>
      <c r="P297" s="1">
        <v>1</v>
      </c>
      <c r="Q297" s="1">
        <v>0</v>
      </c>
      <c r="R297" s="1">
        <v>0</v>
      </c>
      <c r="S297" s="1">
        <v>5</v>
      </c>
      <c r="T297" s="1">
        <v>2</v>
      </c>
      <c r="U297" s="1">
        <v>0</v>
      </c>
      <c r="V297" s="1">
        <v>1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13</v>
      </c>
      <c r="AF297" s="1">
        <v>46465</v>
      </c>
      <c r="AG297" s="33">
        <f t="shared" si="17"/>
        <v>0.000279780479931131</v>
      </c>
      <c r="AH297" s="1">
        <v>19</v>
      </c>
      <c r="AI297" s="1">
        <v>403</v>
      </c>
      <c r="AJ297" s="1">
        <v>65</v>
      </c>
    </row>
    <row r="298" s="2" customFormat="1" spans="1:36">
      <c r="A298" s="2" t="str">
        <f>VLOOKUP(B298,'[1]2. ISIC行业分类'!$A$2:$B$102,2,FALSE)</f>
        <v>J6190</v>
      </c>
      <c r="B298" s="14" t="s">
        <v>116</v>
      </c>
      <c r="C298" s="15" t="s">
        <v>43</v>
      </c>
      <c r="D298" s="16">
        <v>147.37415</v>
      </c>
      <c r="E298" s="16">
        <v>810.201</v>
      </c>
      <c r="F298" s="17">
        <f t="shared" si="15"/>
        <v>0.181898257346017</v>
      </c>
      <c r="G298" s="16">
        <v>790.233</v>
      </c>
      <c r="H298" s="16">
        <v>1193.651</v>
      </c>
      <c r="I298" s="24">
        <v>0.662030191404355</v>
      </c>
      <c r="J298" s="25">
        <v>328.341</v>
      </c>
      <c r="K298" s="24">
        <v>0.275072864681553</v>
      </c>
      <c r="L298" s="16">
        <v>-44.497</v>
      </c>
      <c r="M298" s="24">
        <v>-0.0372780653641642</v>
      </c>
      <c r="N298" s="26">
        <v>0</v>
      </c>
      <c r="O298" s="27" t="s">
        <v>117</v>
      </c>
      <c r="P298" s="1">
        <v>4</v>
      </c>
      <c r="Q298" s="1">
        <v>1</v>
      </c>
      <c r="R298" s="1">
        <v>0</v>
      </c>
      <c r="S298" s="1">
        <v>3</v>
      </c>
      <c r="T298" s="1">
        <v>2</v>
      </c>
      <c r="U298" s="1">
        <v>0</v>
      </c>
      <c r="V298" s="1">
        <v>3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23</v>
      </c>
      <c r="AF298" s="1">
        <v>45130</v>
      </c>
      <c r="AG298" s="33">
        <f t="shared" si="17"/>
        <v>0.000509638821183248</v>
      </c>
      <c r="AH298" s="1">
        <v>6</v>
      </c>
      <c r="AI298" s="1">
        <v>73</v>
      </c>
      <c r="AJ298" s="1">
        <v>14</v>
      </c>
    </row>
    <row r="299" s="2" customFormat="1" spans="1:36">
      <c r="A299" s="2" t="str">
        <f>VLOOKUP(B299,'[1]2. ISIC行业分类'!$A$2:$B$102,2,FALSE)</f>
        <v>J6190</v>
      </c>
      <c r="B299" s="14" t="s">
        <v>116</v>
      </c>
      <c r="C299" s="15" t="s">
        <v>44</v>
      </c>
      <c r="D299" s="16">
        <v>137.39977</v>
      </c>
      <c r="E299" s="16">
        <v>729.492</v>
      </c>
      <c r="F299" s="17">
        <f t="shared" si="15"/>
        <v>0.188349933926623</v>
      </c>
      <c r="G299" s="16">
        <v>848.065</v>
      </c>
      <c r="H299" s="16">
        <v>1217.096</v>
      </c>
      <c r="I299" s="24">
        <v>0.696793843706659</v>
      </c>
      <c r="J299" s="25">
        <v>354.918</v>
      </c>
      <c r="K299" s="24">
        <v>0.291610522095217</v>
      </c>
      <c r="L299" s="16">
        <v>-23.202</v>
      </c>
      <c r="M299" s="24">
        <v>-0.0190634099528714</v>
      </c>
      <c r="N299" s="26">
        <v>0</v>
      </c>
      <c r="O299" s="27" t="s">
        <v>117</v>
      </c>
      <c r="P299" s="1">
        <v>5</v>
      </c>
      <c r="Q299" s="1">
        <v>2</v>
      </c>
      <c r="R299" s="1">
        <v>0</v>
      </c>
      <c r="S299" s="1">
        <v>1</v>
      </c>
      <c r="T299" s="1">
        <v>2</v>
      </c>
      <c r="U299" s="1">
        <v>0</v>
      </c>
      <c r="V299" s="1">
        <v>2</v>
      </c>
      <c r="W299" s="1">
        <v>0</v>
      </c>
      <c r="X299" s="1">
        <v>1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25</v>
      </c>
      <c r="AF299" s="1">
        <v>46486</v>
      </c>
      <c r="AG299" s="33">
        <f t="shared" si="17"/>
        <v>0.000537796325775502</v>
      </c>
      <c r="AH299" s="1">
        <v>2</v>
      </c>
      <c r="AI299" s="1">
        <v>14</v>
      </c>
      <c r="AJ299" s="1">
        <v>4</v>
      </c>
    </row>
    <row r="300" s="2" customFormat="1" spans="1:15">
      <c r="A300" s="2" t="str">
        <f>VLOOKUP(B300,'[1]2. ISIC行业分类'!$A$2:$B$102,2,FALSE)</f>
        <v>D3510</v>
      </c>
      <c r="B300" s="14" t="s">
        <v>118</v>
      </c>
      <c r="C300" s="15" t="s">
        <v>39</v>
      </c>
      <c r="D300" s="16">
        <v>151.474</v>
      </c>
      <c r="E300" s="16">
        <v>1529.054</v>
      </c>
      <c r="F300" s="17">
        <f t="shared" si="15"/>
        <v>0.0990638656319528</v>
      </c>
      <c r="G300" s="16">
        <v>1090.323</v>
      </c>
      <c r="H300" s="16">
        <v>2845.53</v>
      </c>
      <c r="I300" s="24">
        <v>0.383170446278901</v>
      </c>
      <c r="J300" s="25">
        <v>425.241</v>
      </c>
      <c r="K300" s="24">
        <v>0.149441756017332</v>
      </c>
      <c r="L300" s="16">
        <v>10.294</v>
      </c>
      <c r="M300" s="24">
        <v>0.00361760375044368</v>
      </c>
      <c r="N300" s="26">
        <v>0</v>
      </c>
      <c r="O300" s="27" t="s">
        <v>119</v>
      </c>
    </row>
    <row r="301" s="2" customFormat="1" spans="1:15">
      <c r="A301" s="2" t="str">
        <f>VLOOKUP(B301,'[1]2. ISIC行业分类'!$A$2:$B$102,2,FALSE)</f>
        <v>D3510</v>
      </c>
      <c r="B301" s="14" t="s">
        <v>118</v>
      </c>
      <c r="C301" s="15" t="s">
        <v>40</v>
      </c>
      <c r="D301" s="16">
        <v>148.152</v>
      </c>
      <c r="E301" s="16">
        <v>1573.475</v>
      </c>
      <c r="F301" s="17">
        <f t="shared" si="15"/>
        <v>0.0941559287564149</v>
      </c>
      <c r="G301" s="16">
        <v>1054.508</v>
      </c>
      <c r="H301" s="16">
        <v>2784.347</v>
      </c>
      <c r="I301" s="24">
        <v>0.37872722042188</v>
      </c>
      <c r="J301" s="25">
        <v>422.037</v>
      </c>
      <c r="K301" s="24">
        <v>0.151574857587793</v>
      </c>
      <c r="L301" s="16">
        <v>-13.682</v>
      </c>
      <c r="M301" s="24">
        <v>-0.00491389902192507</v>
      </c>
      <c r="N301" s="26">
        <v>0</v>
      </c>
      <c r="O301" s="27" t="s">
        <v>119</v>
      </c>
    </row>
    <row r="302" s="2" customFormat="1" spans="1:36">
      <c r="A302" s="2" t="str">
        <f>VLOOKUP(B302,'[1]2. ISIC行业分类'!$A$2:$B$102,2,FALSE)</f>
        <v>D3510</v>
      </c>
      <c r="B302" s="14" t="s">
        <v>118</v>
      </c>
      <c r="C302" s="15" t="s">
        <v>41</v>
      </c>
      <c r="D302" s="16">
        <v>162.476</v>
      </c>
      <c r="E302" s="16">
        <v>1659.235</v>
      </c>
      <c r="F302" s="17">
        <f t="shared" si="15"/>
        <v>0.0979222352469662</v>
      </c>
      <c r="G302" s="16">
        <v>852.47</v>
      </c>
      <c r="H302" s="16">
        <v>2585.109</v>
      </c>
      <c r="I302" s="24">
        <v>0.329761723780313</v>
      </c>
      <c r="J302" s="25">
        <v>450.75</v>
      </c>
      <c r="K302" s="24">
        <v>0.174364021014201</v>
      </c>
      <c r="L302" s="16">
        <v>-62.57</v>
      </c>
      <c r="M302" s="24">
        <v>-0.0242040084189874</v>
      </c>
      <c r="N302" s="26">
        <v>0</v>
      </c>
      <c r="O302" s="27" t="s">
        <v>119</v>
      </c>
      <c r="P302" s="1">
        <v>0</v>
      </c>
      <c r="Q302" s="1">
        <v>0</v>
      </c>
      <c r="R302" s="1">
        <v>0</v>
      </c>
      <c r="S302" s="1">
        <v>0</v>
      </c>
      <c r="T302" s="1">
        <v>4</v>
      </c>
      <c r="U302" s="1">
        <v>0</v>
      </c>
      <c r="V302" s="1">
        <v>4</v>
      </c>
      <c r="W302" s="1">
        <v>2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20</v>
      </c>
      <c r="AF302" s="1">
        <v>46346</v>
      </c>
      <c r="AG302" s="33">
        <f t="shared" ref="AG302:AG314" si="18">AE302/AF302</f>
        <v>0.000431536702196522</v>
      </c>
      <c r="AH302" s="1">
        <v>6</v>
      </c>
      <c r="AI302" s="1">
        <v>103</v>
      </c>
      <c r="AJ302" s="1">
        <v>12</v>
      </c>
    </row>
    <row r="303" s="2" customFormat="1" spans="1:36">
      <c r="A303" s="2" t="str">
        <f>VLOOKUP(B303,'[1]2. ISIC行业分类'!$A$2:$B$102,2,FALSE)</f>
        <v>D3510</v>
      </c>
      <c r="B303" s="14" t="s">
        <v>118</v>
      </c>
      <c r="C303" s="15" t="s">
        <v>42</v>
      </c>
      <c r="D303" s="16">
        <v>162.395</v>
      </c>
      <c r="E303" s="16">
        <v>1737.814</v>
      </c>
      <c r="F303" s="17">
        <f t="shared" si="15"/>
        <v>0.0934478603578979</v>
      </c>
      <c r="G303" s="16">
        <v>742.66</v>
      </c>
      <c r="H303" s="16">
        <v>2550.681</v>
      </c>
      <c r="I303" s="24">
        <v>0.291161458449724</v>
      </c>
      <c r="J303" s="25">
        <v>433.732</v>
      </c>
      <c r="K303" s="24">
        <v>0.170045568222761</v>
      </c>
      <c r="L303" s="16">
        <v>46.371</v>
      </c>
      <c r="M303" s="24">
        <v>0.0181798507927883</v>
      </c>
      <c r="N303" s="26">
        <v>5915</v>
      </c>
      <c r="O303" s="27" t="s">
        <v>119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52212</v>
      </c>
      <c r="AG303" s="33">
        <f t="shared" si="18"/>
        <v>0</v>
      </c>
      <c r="AH303" s="1">
        <v>16</v>
      </c>
      <c r="AI303" s="1">
        <v>270</v>
      </c>
      <c r="AJ303" s="1">
        <v>38</v>
      </c>
    </row>
    <row r="304" s="2" customFormat="1" spans="1:36">
      <c r="A304" s="2" t="str">
        <f>VLOOKUP(B304,'[1]2. ISIC行业分类'!$A$2:$B$102,2,FALSE)</f>
        <v>D3510</v>
      </c>
      <c r="B304" s="14" t="s">
        <v>118</v>
      </c>
      <c r="C304" s="15" t="s">
        <v>43</v>
      </c>
      <c r="D304" s="16">
        <v>155.935</v>
      </c>
      <c r="E304" s="16">
        <v>1765.159</v>
      </c>
      <c r="F304" s="17">
        <f t="shared" si="15"/>
        <v>0.088340483775116</v>
      </c>
      <c r="G304" s="16">
        <v>718.565</v>
      </c>
      <c r="H304" s="16">
        <v>2551.94</v>
      </c>
      <c r="I304" s="24">
        <v>0.281575977491634</v>
      </c>
      <c r="J304" s="25">
        <v>389.936</v>
      </c>
      <c r="K304" s="24">
        <v>0.152799830717023</v>
      </c>
      <c r="L304" s="16">
        <v>122.245</v>
      </c>
      <c r="M304" s="24">
        <v>0.0479027720087463</v>
      </c>
      <c r="N304" s="26">
        <v>5611</v>
      </c>
      <c r="O304" s="27" t="s">
        <v>119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54307</v>
      </c>
      <c r="AG304" s="33">
        <f t="shared" si="18"/>
        <v>0</v>
      </c>
      <c r="AH304" s="1">
        <v>11</v>
      </c>
      <c r="AI304" s="1">
        <v>278</v>
      </c>
      <c r="AJ304" s="1">
        <v>46</v>
      </c>
    </row>
    <row r="305" s="2" customFormat="1" spans="1:36">
      <c r="A305" s="2" t="str">
        <f>VLOOKUP(B305,'[1]2. ISIC行业分类'!$A$2:$B$102,2,FALSE)</f>
        <v>D3510</v>
      </c>
      <c r="B305" s="14" t="s">
        <v>118</v>
      </c>
      <c r="C305" s="15" t="s">
        <v>44</v>
      </c>
      <c r="D305" s="16">
        <v>156.058</v>
      </c>
      <c r="E305" s="16">
        <v>1698.999</v>
      </c>
      <c r="F305" s="17">
        <f t="shared" si="15"/>
        <v>0.0918529086832894</v>
      </c>
      <c r="G305" s="16">
        <v>986.627</v>
      </c>
      <c r="H305" s="16">
        <v>2784.272</v>
      </c>
      <c r="I305" s="24">
        <v>0.354357261072194</v>
      </c>
      <c r="J305" s="25">
        <v>444.259</v>
      </c>
      <c r="K305" s="24">
        <v>0.159560201014843</v>
      </c>
      <c r="L305" s="16">
        <v>113.748</v>
      </c>
      <c r="M305" s="24">
        <v>0.0408537671606797</v>
      </c>
      <c r="N305" s="26">
        <v>0</v>
      </c>
      <c r="O305" s="27" t="s">
        <v>119</v>
      </c>
      <c r="P305" s="1">
        <v>2</v>
      </c>
      <c r="Q305" s="1">
        <v>3</v>
      </c>
      <c r="R305" s="1">
        <v>0</v>
      </c>
      <c r="S305" s="1">
        <v>0</v>
      </c>
      <c r="T305" s="1">
        <v>0</v>
      </c>
      <c r="U305" s="1">
        <v>0</v>
      </c>
      <c r="V305" s="1">
        <v>3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16</v>
      </c>
      <c r="AF305" s="1">
        <v>59742</v>
      </c>
      <c r="AG305" s="33">
        <f t="shared" si="18"/>
        <v>0.000267818285293428</v>
      </c>
      <c r="AH305" s="1">
        <v>18</v>
      </c>
      <c r="AI305" s="1">
        <v>525</v>
      </c>
      <c r="AJ305" s="1">
        <v>59</v>
      </c>
    </row>
    <row r="306" s="2" customFormat="1" spans="1:36">
      <c r="A306" s="2" t="str">
        <f>VLOOKUP(B306,'[1]2. ISIC行业分类'!$A$2:$B$102,2,FALSE)</f>
        <v>D3510</v>
      </c>
      <c r="B306" s="14" t="s">
        <v>118</v>
      </c>
      <c r="C306" s="15" t="s">
        <v>45</v>
      </c>
      <c r="D306" s="16">
        <v>145.74</v>
      </c>
      <c r="E306" s="16">
        <v>1357.448</v>
      </c>
      <c r="F306" s="17">
        <f t="shared" si="15"/>
        <v>0.107363228646696</v>
      </c>
      <c r="G306" s="16">
        <v>783.669</v>
      </c>
      <c r="H306" s="16">
        <v>2159.419</v>
      </c>
      <c r="I306" s="24">
        <v>0.362907337575524</v>
      </c>
      <c r="J306" s="25">
        <v>495.563</v>
      </c>
      <c r="K306" s="24">
        <v>0.229489043117616</v>
      </c>
      <c r="L306" s="16">
        <v>-392.392</v>
      </c>
      <c r="M306" s="24">
        <v>-0.181711840082911</v>
      </c>
      <c r="N306" s="26">
        <v>5000</v>
      </c>
      <c r="O306" s="27" t="s">
        <v>119</v>
      </c>
      <c r="P306" s="1">
        <v>3</v>
      </c>
      <c r="Q306" s="1">
        <v>5</v>
      </c>
      <c r="R306" s="1">
        <v>0</v>
      </c>
      <c r="S306" s="1">
        <v>2</v>
      </c>
      <c r="T306" s="1">
        <v>0</v>
      </c>
      <c r="U306" s="1">
        <v>0</v>
      </c>
      <c r="V306" s="1">
        <v>5</v>
      </c>
      <c r="W306" s="1">
        <v>1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30</v>
      </c>
      <c r="AF306" s="1">
        <v>85981</v>
      </c>
      <c r="AG306" s="33">
        <f t="shared" si="18"/>
        <v>0.000348914295018667</v>
      </c>
      <c r="AH306" s="1">
        <v>3</v>
      </c>
      <c r="AI306" s="1">
        <v>13</v>
      </c>
      <c r="AJ306" s="1">
        <v>1</v>
      </c>
    </row>
    <row r="307" s="2" customFormat="1" spans="1:36">
      <c r="A307" s="2" t="str">
        <f>VLOOKUP(B307,'[1]2. ISIC行业分类'!$A$2:$B$102,2,FALSE)</f>
        <v>C2100</v>
      </c>
      <c r="B307" s="14" t="s">
        <v>120</v>
      </c>
      <c r="C307" s="15" t="s">
        <v>39</v>
      </c>
      <c r="D307" s="16">
        <v>0</v>
      </c>
      <c r="E307" s="16">
        <v>426.44859</v>
      </c>
      <c r="F307" s="17">
        <f t="shared" si="15"/>
        <v>0</v>
      </c>
      <c r="G307" s="16">
        <v>368.31452</v>
      </c>
      <c r="H307" s="16">
        <v>1190.58798</v>
      </c>
      <c r="I307" s="24">
        <v>0.309355147361726</v>
      </c>
      <c r="J307" s="25">
        <v>228.32755</v>
      </c>
      <c r="K307" s="24">
        <v>0.191777133513476</v>
      </c>
      <c r="L307" s="16">
        <v>80.22959</v>
      </c>
      <c r="M307" s="24">
        <v>0.0673865277894037</v>
      </c>
      <c r="N307" s="26">
        <v>4321</v>
      </c>
      <c r="O307" s="27" t="s">
        <v>121</v>
      </c>
      <c r="P307" s="1">
        <v>13</v>
      </c>
      <c r="Q307" s="1">
        <v>0</v>
      </c>
      <c r="R307" s="1">
        <v>0</v>
      </c>
      <c r="S307" s="1">
        <v>22</v>
      </c>
      <c r="T307" s="1">
        <v>0</v>
      </c>
      <c r="U307" s="1">
        <v>0</v>
      </c>
      <c r="V307" s="1">
        <v>2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56</v>
      </c>
      <c r="AF307" s="1">
        <v>74361</v>
      </c>
      <c r="AG307" s="33">
        <f t="shared" si="18"/>
        <v>0.000753082933258025</v>
      </c>
      <c r="AH307" s="1">
        <v>1</v>
      </c>
      <c r="AI307" s="1">
        <v>7</v>
      </c>
      <c r="AJ307" s="1">
        <v>3</v>
      </c>
    </row>
    <row r="308" s="2" customFormat="1" spans="1:36">
      <c r="A308" s="2" t="str">
        <f>VLOOKUP(B308,'[1]2. ISIC行业分类'!$A$2:$B$102,2,FALSE)</f>
        <v>C2100</v>
      </c>
      <c r="B308" s="18" t="s">
        <v>120</v>
      </c>
      <c r="C308" s="19">
        <v>2016</v>
      </c>
      <c r="D308" s="20">
        <v>0</v>
      </c>
      <c r="E308" s="20">
        <v>499.43086</v>
      </c>
      <c r="F308" s="17">
        <f t="shared" si="15"/>
        <v>0</v>
      </c>
      <c r="G308" s="20">
        <v>502.22127</v>
      </c>
      <c r="H308" s="20">
        <v>1368.27023</v>
      </c>
      <c r="I308" s="28">
        <v>0.367048305947576</v>
      </c>
      <c r="J308" s="29">
        <v>258.46988</v>
      </c>
      <c r="K308" s="28">
        <v>0.18890265558142</v>
      </c>
      <c r="L308" s="20">
        <v>97.82754</v>
      </c>
      <c r="M308" s="28">
        <v>0.0714972363317442</v>
      </c>
      <c r="N308" s="30">
        <v>5465</v>
      </c>
      <c r="O308" s="31" t="s">
        <v>121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33"/>
      <c r="AH308" s="2">
        <v>0</v>
      </c>
      <c r="AI308" s="2">
        <v>0</v>
      </c>
      <c r="AJ308" s="2">
        <v>0</v>
      </c>
    </row>
    <row r="309" s="2" customFormat="1" spans="1:36">
      <c r="A309" s="2" t="str">
        <f>VLOOKUP(B309,'[1]2. ISIC行业分类'!$A$2:$B$102,2,FALSE)</f>
        <v>C2100</v>
      </c>
      <c r="B309" s="18" t="s">
        <v>120</v>
      </c>
      <c r="C309" s="19">
        <v>2017</v>
      </c>
      <c r="D309" s="20">
        <v>4.68123</v>
      </c>
      <c r="E309" s="20">
        <v>134.55619</v>
      </c>
      <c r="F309" s="17">
        <f t="shared" si="15"/>
        <v>0.0347901497508216</v>
      </c>
      <c r="G309" s="20">
        <v>110.00198</v>
      </c>
      <c r="H309" s="20">
        <v>592.22075</v>
      </c>
      <c r="I309" s="28">
        <v>0.185744893268262</v>
      </c>
      <c r="J309" s="29">
        <v>244.87381</v>
      </c>
      <c r="K309" s="28">
        <v>0.413484009130041</v>
      </c>
      <c r="L309" s="20">
        <v>4.62611</v>
      </c>
      <c r="M309" s="28">
        <v>0.00781146219547356</v>
      </c>
      <c r="N309" s="30">
        <v>0</v>
      </c>
      <c r="O309" s="31" t="s">
        <v>122</v>
      </c>
      <c r="P309" s="1">
        <v>83</v>
      </c>
      <c r="Q309" s="1">
        <v>0</v>
      </c>
      <c r="R309" s="1">
        <v>0</v>
      </c>
      <c r="S309" s="1">
        <v>111</v>
      </c>
      <c r="T309" s="1">
        <v>0</v>
      </c>
      <c r="U309" s="1">
        <v>0</v>
      </c>
      <c r="V309" s="1">
        <v>1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279</v>
      </c>
      <c r="AF309" s="1">
        <v>90453</v>
      </c>
      <c r="AG309" s="33">
        <f t="shared" ref="AG309:AG324" si="19">AE309/AF309</f>
        <v>0.00308447481012238</v>
      </c>
      <c r="AH309" s="2">
        <v>0</v>
      </c>
      <c r="AI309" s="2">
        <v>0</v>
      </c>
      <c r="AJ309" s="2">
        <v>0</v>
      </c>
    </row>
    <row r="310" s="2" customFormat="1" spans="1:36">
      <c r="A310" s="2" t="str">
        <f>VLOOKUP(B310,'[1]2. ISIC行业分类'!$A$2:$B$102,2,FALSE)</f>
        <v>C2100</v>
      </c>
      <c r="B310" s="18" t="s">
        <v>120</v>
      </c>
      <c r="C310" s="19">
        <v>2018</v>
      </c>
      <c r="D310" s="20">
        <v>6.3556</v>
      </c>
      <c r="E310" s="20">
        <v>289.58582</v>
      </c>
      <c r="F310" s="17">
        <f t="shared" si="15"/>
        <v>0.0219472072216796</v>
      </c>
      <c r="G310" s="20">
        <v>62.54377</v>
      </c>
      <c r="H310" s="20">
        <v>406.54513</v>
      </c>
      <c r="I310" s="28">
        <v>0.153842133098483</v>
      </c>
      <c r="J310" s="29">
        <v>41.97461</v>
      </c>
      <c r="K310" s="28">
        <v>0.103247110597537</v>
      </c>
      <c r="L310" s="20">
        <v>-26.45109</v>
      </c>
      <c r="M310" s="28">
        <v>-0.0650631087377679</v>
      </c>
      <c r="N310" s="30">
        <v>1721</v>
      </c>
      <c r="O310" s="31" t="s">
        <v>121</v>
      </c>
      <c r="P310" s="1">
        <v>80</v>
      </c>
      <c r="Q310" s="1">
        <v>0</v>
      </c>
      <c r="R310" s="1">
        <v>0</v>
      </c>
      <c r="S310" s="1">
        <v>85</v>
      </c>
      <c r="T310" s="1">
        <v>0</v>
      </c>
      <c r="U310" s="1">
        <v>0</v>
      </c>
      <c r="V310" s="1">
        <v>1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247</v>
      </c>
      <c r="AF310" s="1">
        <v>85245</v>
      </c>
      <c r="AG310" s="33">
        <f t="shared" si="19"/>
        <v>0.00289753064695877</v>
      </c>
      <c r="AH310" s="2">
        <v>0</v>
      </c>
      <c r="AI310" s="2">
        <v>0</v>
      </c>
      <c r="AJ310" s="2">
        <v>0</v>
      </c>
    </row>
    <row r="311" s="2" customFormat="1" spans="1:36">
      <c r="A311" s="2" t="str">
        <f>VLOOKUP(B311,'[1]2. ISIC行业分类'!$A$2:$B$102,2,FALSE)</f>
        <v>C2100</v>
      </c>
      <c r="B311" s="14" t="s">
        <v>120</v>
      </c>
      <c r="C311" s="15" t="s">
        <v>43</v>
      </c>
      <c r="D311" s="16">
        <v>78.11601</v>
      </c>
      <c r="E311" s="16">
        <v>1119.58083</v>
      </c>
      <c r="F311" s="17">
        <f t="shared" si="15"/>
        <v>0.0697725504999938</v>
      </c>
      <c r="G311" s="16">
        <v>1137.64984</v>
      </c>
      <c r="H311" s="16">
        <v>2287.30714</v>
      </c>
      <c r="I311" s="24">
        <v>0.497375197281114</v>
      </c>
      <c r="J311" s="25">
        <v>456.50738</v>
      </c>
      <c r="K311" s="24">
        <v>0.199582894669756</v>
      </c>
      <c r="L311" s="16">
        <v>247.78558</v>
      </c>
      <c r="M311" s="24">
        <v>0.108330698429945</v>
      </c>
      <c r="N311" s="26">
        <v>0</v>
      </c>
      <c r="O311" s="27" t="s">
        <v>121</v>
      </c>
      <c r="P311" s="1">
        <v>59</v>
      </c>
      <c r="Q311" s="1">
        <v>0</v>
      </c>
      <c r="R311" s="1">
        <v>0</v>
      </c>
      <c r="S311" s="1">
        <v>53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171</v>
      </c>
      <c r="AF311" s="1">
        <v>77324</v>
      </c>
      <c r="AG311" s="33">
        <f t="shared" si="19"/>
        <v>0.0022114737985619</v>
      </c>
      <c r="AH311" s="1">
        <v>1</v>
      </c>
      <c r="AI311" s="1">
        <v>16</v>
      </c>
      <c r="AJ311" s="1">
        <v>7</v>
      </c>
    </row>
    <row r="312" s="2" customFormat="1" spans="1:36">
      <c r="A312" s="2" t="str">
        <f>VLOOKUP(B312,'[1]2. ISIC行业分类'!$A$2:$B$102,2,FALSE)</f>
        <v>C2100</v>
      </c>
      <c r="B312" s="14" t="s">
        <v>120</v>
      </c>
      <c r="C312" s="15" t="s">
        <v>44</v>
      </c>
      <c r="D312" s="16">
        <v>112.75529</v>
      </c>
      <c r="E312" s="16">
        <v>1231.30036</v>
      </c>
      <c r="F312" s="17">
        <f t="shared" si="15"/>
        <v>0.0915741549852223</v>
      </c>
      <c r="G312" s="16">
        <v>1167.08615</v>
      </c>
      <c r="H312" s="16">
        <v>2781.1269</v>
      </c>
      <c r="I312" s="24">
        <v>0.419645054671903</v>
      </c>
      <c r="J312" s="25">
        <v>603.0073</v>
      </c>
      <c r="K312" s="24">
        <v>0.216821210136078</v>
      </c>
      <c r="L312" s="16">
        <v>276.00596</v>
      </c>
      <c r="M312" s="24">
        <v>0.0992424905170634</v>
      </c>
      <c r="N312" s="26">
        <v>9388</v>
      </c>
      <c r="O312" s="27" t="s">
        <v>121</v>
      </c>
      <c r="P312" s="1">
        <v>25</v>
      </c>
      <c r="Q312" s="1">
        <v>0</v>
      </c>
      <c r="R312" s="1">
        <v>0</v>
      </c>
      <c r="S312" s="1">
        <v>39</v>
      </c>
      <c r="T312" s="1">
        <v>0</v>
      </c>
      <c r="U312" s="1">
        <v>0</v>
      </c>
      <c r="V312" s="1">
        <v>2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95</v>
      </c>
      <c r="AF312" s="1">
        <v>84283</v>
      </c>
      <c r="AG312" s="33">
        <f t="shared" si="19"/>
        <v>0.0011271549422778</v>
      </c>
      <c r="AH312" s="1">
        <v>2</v>
      </c>
      <c r="AI312" s="1">
        <v>35</v>
      </c>
      <c r="AJ312" s="1">
        <v>18</v>
      </c>
    </row>
    <row r="313" s="2" customFormat="1" spans="1:36">
      <c r="A313" s="2" t="str">
        <f>VLOOKUP(B313,'[1]2. ISIC行业分类'!$A$2:$B$102,2,FALSE)</f>
        <v>C2100</v>
      </c>
      <c r="B313" s="14" t="s">
        <v>120</v>
      </c>
      <c r="C313" s="15" t="s">
        <v>45</v>
      </c>
      <c r="D313" s="16">
        <v>142.92437</v>
      </c>
      <c r="E313" s="16">
        <v>1678.01134</v>
      </c>
      <c r="F313" s="17">
        <f t="shared" si="15"/>
        <v>0.0851748534667233</v>
      </c>
      <c r="G313" s="16">
        <v>1326.24842</v>
      </c>
      <c r="H313" s="16">
        <v>3258.29775</v>
      </c>
      <c r="I313" s="24">
        <v>0.407037208309155</v>
      </c>
      <c r="J313" s="25">
        <v>788.1468</v>
      </c>
      <c r="K313" s="24">
        <v>0.241889127535996</v>
      </c>
      <c r="L313" s="16">
        <v>270.64896</v>
      </c>
      <c r="M313" s="24">
        <v>0.0830645265614537</v>
      </c>
      <c r="N313" s="26">
        <v>10941</v>
      </c>
      <c r="O313" s="27" t="s">
        <v>121</v>
      </c>
      <c r="P313" s="1">
        <v>0</v>
      </c>
      <c r="Q313" s="1">
        <v>0</v>
      </c>
      <c r="R313" s="1">
        <v>0</v>
      </c>
      <c r="S313" s="1">
        <v>7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7</v>
      </c>
      <c r="AF313" s="1">
        <v>72689</v>
      </c>
      <c r="AG313" s="33">
        <f t="shared" si="19"/>
        <v>9.63006782319195e-5</v>
      </c>
      <c r="AH313" s="1">
        <v>1</v>
      </c>
      <c r="AI313" s="1">
        <v>11</v>
      </c>
      <c r="AJ313" s="1">
        <v>3</v>
      </c>
    </row>
    <row r="314" s="2" customFormat="1" spans="1:36">
      <c r="A314" s="2" t="str">
        <f>VLOOKUP(B314,'[1]2. ISIC行业分类'!$A$2:$B$102,2,FALSE)</f>
        <v>C2620</v>
      </c>
      <c r="B314" s="14" t="s">
        <v>123</v>
      </c>
      <c r="C314" s="15" t="s">
        <v>39</v>
      </c>
      <c r="D314" s="16">
        <v>107.543</v>
      </c>
      <c r="E314" s="16">
        <v>2004.908</v>
      </c>
      <c r="F314" s="17">
        <f t="shared" si="15"/>
        <v>0.0536398677645059</v>
      </c>
      <c r="G314" s="16">
        <v>668.546</v>
      </c>
      <c r="H314" s="16">
        <v>1426.68</v>
      </c>
      <c r="I314" s="24">
        <v>0.468602629881964</v>
      </c>
      <c r="J314" s="25">
        <v>332.562</v>
      </c>
      <c r="K314" s="24">
        <v>0.233102027083859</v>
      </c>
      <c r="L314" s="16">
        <v>9.283</v>
      </c>
      <c r="M314" s="24">
        <v>0.00650671489051504</v>
      </c>
      <c r="N314" s="26">
        <v>6900</v>
      </c>
      <c r="O314" s="27" t="s">
        <v>56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69515</v>
      </c>
      <c r="AG314" s="33">
        <f t="shared" si="19"/>
        <v>0</v>
      </c>
      <c r="AH314" s="1">
        <v>2</v>
      </c>
      <c r="AI314" s="1">
        <v>121</v>
      </c>
      <c r="AJ314" s="1">
        <v>45</v>
      </c>
    </row>
    <row r="315" s="2" customFormat="1" spans="1:36">
      <c r="A315" s="2" t="str">
        <f>VLOOKUP(B315,'[1]2. ISIC行业分类'!$A$2:$B$102,2,FALSE)</f>
        <v>C2620</v>
      </c>
      <c r="B315" s="14" t="s">
        <v>123</v>
      </c>
      <c r="C315" s="15" t="s">
        <v>40</v>
      </c>
      <c r="D315" s="16">
        <v>113.176</v>
      </c>
      <c r="E315" s="16">
        <v>2018.1</v>
      </c>
      <c r="F315" s="17">
        <f t="shared" si="15"/>
        <v>0.0560804717308359</v>
      </c>
      <c r="G315" s="16">
        <v>564.199</v>
      </c>
      <c r="H315" s="16">
        <v>1324.147</v>
      </c>
      <c r="I315" s="24">
        <v>0.426084868220824</v>
      </c>
      <c r="J315" s="25">
        <v>371.212</v>
      </c>
      <c r="K315" s="24">
        <v>0.280340475793096</v>
      </c>
      <c r="L315" s="16">
        <v>119.317</v>
      </c>
      <c r="M315" s="24">
        <v>0.0901085755584539</v>
      </c>
      <c r="N315" s="26">
        <v>5900</v>
      </c>
      <c r="O315" s="27" t="s">
        <v>56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74341</v>
      </c>
      <c r="AG315" s="33">
        <f t="shared" si="19"/>
        <v>0</v>
      </c>
      <c r="AH315" s="1">
        <v>2</v>
      </c>
      <c r="AI315" s="1">
        <v>112</v>
      </c>
      <c r="AJ315" s="1">
        <v>28</v>
      </c>
    </row>
    <row r="316" s="2" customFormat="1" spans="1:36">
      <c r="A316" s="2" t="str">
        <f>VLOOKUP(B316,'[1]2. ISIC行业分类'!$A$2:$B$102,2,FALSE)</f>
        <v>C2620</v>
      </c>
      <c r="B316" s="14" t="s">
        <v>123</v>
      </c>
      <c r="C316" s="15" t="s">
        <v>41</v>
      </c>
      <c r="D316" s="16">
        <v>130.525</v>
      </c>
      <c r="E316" s="16">
        <v>2221.427</v>
      </c>
      <c r="F316" s="17">
        <f t="shared" si="15"/>
        <v>0.0587572762913208</v>
      </c>
      <c r="G316" s="16">
        <v>642.566</v>
      </c>
      <c r="H316" s="16">
        <v>1498.677</v>
      </c>
      <c r="I316" s="24">
        <v>0.428755495680524</v>
      </c>
      <c r="J316" s="25">
        <v>348.76</v>
      </c>
      <c r="K316" s="24">
        <v>0.232711918578853</v>
      </c>
      <c r="L316" s="16">
        <v>205.876</v>
      </c>
      <c r="M316" s="24">
        <v>0.137371828619509</v>
      </c>
      <c r="N316" s="26">
        <v>6400</v>
      </c>
      <c r="O316" s="27" t="s">
        <v>56</v>
      </c>
      <c r="P316" s="1">
        <v>0</v>
      </c>
      <c r="Q316" s="1">
        <v>1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2</v>
      </c>
      <c r="AF316" s="1">
        <v>68738</v>
      </c>
      <c r="AG316" s="33">
        <f t="shared" si="19"/>
        <v>2.90959876633012e-5</v>
      </c>
      <c r="AH316" s="1">
        <v>3</v>
      </c>
      <c r="AI316" s="1">
        <v>32</v>
      </c>
      <c r="AJ316" s="1">
        <v>57</v>
      </c>
    </row>
    <row r="317" s="2" customFormat="1" spans="1:36">
      <c r="A317" s="2" t="str">
        <f>VLOOKUP(B317,'[1]2. ISIC行业分类'!$A$2:$B$102,2,FALSE)</f>
        <v>C2100</v>
      </c>
      <c r="B317" s="14" t="s">
        <v>124</v>
      </c>
      <c r="C317" s="15" t="s">
        <v>37</v>
      </c>
      <c r="D317" s="16">
        <v>101.67512</v>
      </c>
      <c r="E317" s="16">
        <v>3664.33116</v>
      </c>
      <c r="F317" s="17">
        <f t="shared" si="15"/>
        <v>0.0277472519705342</v>
      </c>
      <c r="G317" s="16">
        <v>4339.81638</v>
      </c>
      <c r="H317" s="16">
        <v>6484.05412</v>
      </c>
      <c r="I317" s="24">
        <v>0.669306008198463</v>
      </c>
      <c r="J317" s="25">
        <v>5839.77611</v>
      </c>
      <c r="K317" s="24">
        <v>0.900636546506802</v>
      </c>
      <c r="L317" s="16">
        <v>238.5842</v>
      </c>
      <c r="M317" s="24">
        <v>0.0367955287825389</v>
      </c>
      <c r="N317" s="26">
        <v>9809</v>
      </c>
      <c r="O317" s="27" t="s">
        <v>125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65890</v>
      </c>
      <c r="AG317" s="33">
        <f t="shared" si="19"/>
        <v>0</v>
      </c>
      <c r="AH317" s="1">
        <v>8</v>
      </c>
      <c r="AI317" s="1">
        <v>155</v>
      </c>
      <c r="AJ317" s="1">
        <v>40</v>
      </c>
    </row>
    <row r="318" s="2" customFormat="1" spans="1:36">
      <c r="A318" s="2" t="str">
        <f>VLOOKUP(B318,'[1]2. ISIC行业分类'!$A$2:$B$102,2,FALSE)</f>
        <v>C2100</v>
      </c>
      <c r="B318" s="14" t="s">
        <v>124</v>
      </c>
      <c r="C318" s="15" t="s">
        <v>39</v>
      </c>
      <c r="D318" s="16">
        <v>102.87552</v>
      </c>
      <c r="E318" s="16">
        <v>3798.40393</v>
      </c>
      <c r="F318" s="17">
        <f t="shared" si="15"/>
        <v>0.0270838809920882</v>
      </c>
      <c r="G318" s="16">
        <v>4108.02928</v>
      </c>
      <c r="H318" s="16">
        <v>6240.44906</v>
      </c>
      <c r="I318" s="24">
        <v>0.658290651923052</v>
      </c>
      <c r="J318" s="25">
        <v>5908.85029</v>
      </c>
      <c r="K318" s="24">
        <v>0.946862995465266</v>
      </c>
      <c r="L318" s="16">
        <v>276.66524</v>
      </c>
      <c r="M318" s="24">
        <v>0.0443341877066776</v>
      </c>
      <c r="N318" s="26">
        <v>9829</v>
      </c>
      <c r="O318" s="27" t="s">
        <v>125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38122</v>
      </c>
      <c r="AG318" s="33">
        <f t="shared" si="19"/>
        <v>0</v>
      </c>
      <c r="AH318" s="1">
        <v>5</v>
      </c>
      <c r="AI318" s="1">
        <v>199</v>
      </c>
      <c r="AJ318" s="1">
        <v>13</v>
      </c>
    </row>
    <row r="319" s="2" customFormat="1" spans="1:36">
      <c r="A319" s="2" t="str">
        <f>VLOOKUP(B319,'[1]2. ISIC行业分类'!$A$2:$B$102,2,FALSE)</f>
        <v>C2100</v>
      </c>
      <c r="B319" s="14" t="s">
        <v>124</v>
      </c>
      <c r="C319" s="15" t="s">
        <v>40</v>
      </c>
      <c r="D319" s="16">
        <v>82.69507</v>
      </c>
      <c r="E319" s="16">
        <v>4067.80996</v>
      </c>
      <c r="F319" s="17">
        <f t="shared" si="15"/>
        <v>0.0203291379914906</v>
      </c>
      <c r="G319" s="16">
        <v>4403.51257</v>
      </c>
      <c r="H319" s="16">
        <v>6721.92798</v>
      </c>
      <c r="I319" s="24">
        <v>0.655096660229317</v>
      </c>
      <c r="J319" s="25">
        <v>5963.88982</v>
      </c>
      <c r="K319" s="24">
        <v>0.887229056566</v>
      </c>
      <c r="L319" s="16">
        <v>296.32401</v>
      </c>
      <c r="M319" s="24">
        <v>0.044083187276279</v>
      </c>
      <c r="N319" s="26">
        <v>10130</v>
      </c>
      <c r="O319" s="27" t="s">
        <v>125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76325</v>
      </c>
      <c r="AG319" s="33">
        <f t="shared" si="19"/>
        <v>0</v>
      </c>
      <c r="AH319" s="1">
        <v>8</v>
      </c>
      <c r="AI319" s="1">
        <v>46</v>
      </c>
      <c r="AJ319" s="1">
        <v>60</v>
      </c>
    </row>
    <row r="320" s="2" customFormat="1" spans="1:36">
      <c r="A320" s="2" t="str">
        <f>VLOOKUP(B320,'[1]2. ISIC行业分类'!$A$2:$B$102,2,FALSE)</f>
        <v>C2100</v>
      </c>
      <c r="B320" s="14" t="s">
        <v>124</v>
      </c>
      <c r="C320" s="15" t="s">
        <v>41</v>
      </c>
      <c r="D320" s="16">
        <v>97.47989</v>
      </c>
      <c r="E320" s="16">
        <v>4666.72139</v>
      </c>
      <c r="F320" s="17">
        <f t="shared" si="15"/>
        <v>0.0208883029119508</v>
      </c>
      <c r="G320" s="16">
        <v>7849.69627</v>
      </c>
      <c r="H320" s="16">
        <v>14192.04564</v>
      </c>
      <c r="I320" s="24">
        <v>0.553105342888398</v>
      </c>
      <c r="J320" s="25">
        <v>7298.67838</v>
      </c>
      <c r="K320" s="24">
        <v>0.514279517212714</v>
      </c>
      <c r="L320" s="16">
        <v>725.45559</v>
      </c>
      <c r="M320" s="24">
        <v>0.0511170558777882</v>
      </c>
      <c r="N320" s="26">
        <v>14618</v>
      </c>
      <c r="O320" s="27" t="s">
        <v>125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59892</v>
      </c>
      <c r="AG320" s="33">
        <f t="shared" si="19"/>
        <v>0</v>
      </c>
      <c r="AH320" s="1">
        <v>7</v>
      </c>
      <c r="AI320" s="1">
        <v>134</v>
      </c>
      <c r="AJ320" s="1">
        <v>44</v>
      </c>
    </row>
    <row r="321" s="2" customFormat="1" spans="1:36">
      <c r="A321" s="2" t="str">
        <f>VLOOKUP(B321,'[1]2. ISIC行业分类'!$A$2:$B$102,2,FALSE)</f>
        <v>C2100</v>
      </c>
      <c r="B321" s="14" t="s">
        <v>124</v>
      </c>
      <c r="C321" s="15" t="s">
        <v>42</v>
      </c>
      <c r="D321" s="16">
        <v>111.79316</v>
      </c>
      <c r="E321" s="16">
        <v>5632.34278</v>
      </c>
      <c r="F321" s="17">
        <f t="shared" si="15"/>
        <v>0.0198484297505771</v>
      </c>
      <c r="G321" s="16">
        <v>7755.39656</v>
      </c>
      <c r="H321" s="16">
        <v>14147.93285</v>
      </c>
      <c r="I321" s="24">
        <v>0.548164643006487</v>
      </c>
      <c r="J321" s="25">
        <v>7286.88158</v>
      </c>
      <c r="K321" s="24">
        <v>0.515049205933996</v>
      </c>
      <c r="L321" s="16">
        <v>568.11253</v>
      </c>
      <c r="M321" s="24">
        <v>0.0401551616072308</v>
      </c>
      <c r="N321" s="26">
        <v>15375</v>
      </c>
      <c r="O321" s="27" t="s">
        <v>125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74052</v>
      </c>
      <c r="AG321" s="33">
        <f t="shared" si="19"/>
        <v>0</v>
      </c>
      <c r="AH321" s="1">
        <v>3</v>
      </c>
      <c r="AI321" s="1">
        <v>38</v>
      </c>
      <c r="AJ321" s="1">
        <v>9</v>
      </c>
    </row>
    <row r="322" s="2" customFormat="1" spans="1:36">
      <c r="A322" s="2" t="str">
        <f>VLOOKUP(B322,'[1]2. ISIC行业分类'!$A$2:$B$102,2,FALSE)</f>
        <v>C2100</v>
      </c>
      <c r="B322" s="14" t="s">
        <v>124</v>
      </c>
      <c r="C322" s="15" t="s">
        <v>43</v>
      </c>
      <c r="D322" s="16">
        <v>77.44014</v>
      </c>
      <c r="E322" s="16">
        <v>4343.87552</v>
      </c>
      <c r="F322" s="17">
        <f t="shared" ref="F322:F385" si="20">D322/E322</f>
        <v>0.0178274307455293</v>
      </c>
      <c r="G322" s="16">
        <v>7512.726</v>
      </c>
      <c r="H322" s="16">
        <v>14291.31948</v>
      </c>
      <c r="I322" s="24">
        <v>0.525684560513373</v>
      </c>
      <c r="J322" s="25">
        <v>8389.34837</v>
      </c>
      <c r="K322" s="24">
        <v>0.587024059026914</v>
      </c>
      <c r="L322" s="16">
        <v>665.98519</v>
      </c>
      <c r="M322" s="24">
        <v>0.0466006788898683</v>
      </c>
      <c r="N322" s="26">
        <v>15468</v>
      </c>
      <c r="O322" s="27" t="s">
        <v>125</v>
      </c>
      <c r="P322" s="1">
        <v>0</v>
      </c>
      <c r="Q322" s="1">
        <v>1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2</v>
      </c>
      <c r="AF322" s="1">
        <v>62472</v>
      </c>
      <c r="AG322" s="33">
        <f t="shared" si="19"/>
        <v>3.20143424254066e-5</v>
      </c>
      <c r="AH322" s="1">
        <v>6</v>
      </c>
      <c r="AI322" s="1">
        <v>81</v>
      </c>
      <c r="AJ322" s="1">
        <v>22</v>
      </c>
    </row>
    <row r="323" s="2" customFormat="1" spans="1:36">
      <c r="A323" s="2" t="str">
        <f>VLOOKUP(B323,'[1]2. ISIC行业分类'!$A$2:$B$102,2,FALSE)</f>
        <v>C2100</v>
      </c>
      <c r="B323" s="14" t="s">
        <v>124</v>
      </c>
      <c r="C323" s="15" t="s">
        <v>44</v>
      </c>
      <c r="D323" s="16">
        <v>94.94207</v>
      </c>
      <c r="E323" s="16">
        <v>5095.22464</v>
      </c>
      <c r="F323" s="17">
        <f t="shared" si="20"/>
        <v>0.0186335395803079</v>
      </c>
      <c r="G323" s="16">
        <v>8527.83272</v>
      </c>
      <c r="H323" s="16">
        <v>16308.56174</v>
      </c>
      <c r="I323" s="24">
        <v>0.522905260191264</v>
      </c>
      <c r="J323" s="25">
        <v>7432.60808</v>
      </c>
      <c r="K323" s="24">
        <v>0.455748839075738</v>
      </c>
      <c r="L323" s="16">
        <v>982.19836</v>
      </c>
      <c r="M323" s="24">
        <v>0.0602259338167732</v>
      </c>
      <c r="N323" s="26">
        <v>16540</v>
      </c>
      <c r="O323" s="27" t="s">
        <v>125</v>
      </c>
      <c r="P323" s="1">
        <v>0</v>
      </c>
      <c r="Q323" s="1">
        <v>1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2</v>
      </c>
      <c r="AF323" s="1">
        <v>65959</v>
      </c>
      <c r="AG323" s="33">
        <f t="shared" si="19"/>
        <v>3.03218666141088e-5</v>
      </c>
      <c r="AH323" s="1">
        <v>4</v>
      </c>
      <c r="AI323" s="1">
        <v>65</v>
      </c>
      <c r="AJ323" s="1">
        <v>12</v>
      </c>
    </row>
    <row r="324" s="2" customFormat="1" spans="1:36">
      <c r="A324" s="2" t="str">
        <f>VLOOKUP(B324,'[1]2. ISIC行业分类'!$A$2:$B$102,2,FALSE)</f>
        <v>C2100</v>
      </c>
      <c r="B324" s="14" t="s">
        <v>124</v>
      </c>
      <c r="C324" s="15" t="s">
        <v>45</v>
      </c>
      <c r="D324" s="16">
        <v>98.72643</v>
      </c>
      <c r="E324" s="16">
        <v>5933.45839</v>
      </c>
      <c r="F324" s="17">
        <f t="shared" si="20"/>
        <v>0.0166389352567786</v>
      </c>
      <c r="G324" s="16">
        <v>7279.4287</v>
      </c>
      <c r="H324" s="16">
        <v>18054.86996</v>
      </c>
      <c r="I324" s="24">
        <v>0.403183668236179</v>
      </c>
      <c r="J324" s="25">
        <v>8735.09505</v>
      </c>
      <c r="K324" s="24">
        <v>0.483808250591244</v>
      </c>
      <c r="L324" s="16">
        <v>3229.45119</v>
      </c>
      <c r="M324" s="24">
        <v>0.1788687039649</v>
      </c>
      <c r="N324" s="26">
        <v>16218</v>
      </c>
      <c r="O324" s="27" t="s">
        <v>125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57787</v>
      </c>
      <c r="AG324" s="33">
        <f t="shared" si="19"/>
        <v>0</v>
      </c>
      <c r="AH324" s="1">
        <v>1</v>
      </c>
      <c r="AI324" s="1">
        <v>6</v>
      </c>
      <c r="AJ324" s="1">
        <v>0</v>
      </c>
    </row>
    <row r="325" s="2" customFormat="1" spans="1:36">
      <c r="A325" s="2" t="str">
        <f>VLOOKUP(B325,'[1]2. ISIC行业分类'!$A$2:$B$102,2,FALSE)</f>
        <v>C2100</v>
      </c>
      <c r="B325" s="14" t="s">
        <v>126</v>
      </c>
      <c r="C325" s="15" t="s">
        <v>40</v>
      </c>
      <c r="D325" s="16">
        <v>2.81537</v>
      </c>
      <c r="E325" s="16">
        <v>231.2372</v>
      </c>
      <c r="F325" s="17">
        <f t="shared" si="20"/>
        <v>0.0121752468893413</v>
      </c>
      <c r="G325" s="16">
        <v>129.64214</v>
      </c>
      <c r="H325" s="16">
        <v>284.68489</v>
      </c>
      <c r="I325" s="24">
        <v>0.455388201319712</v>
      </c>
      <c r="J325" s="25">
        <v>170.83923</v>
      </c>
      <c r="K325" s="24">
        <v>0.600099394105532</v>
      </c>
      <c r="L325" s="16">
        <v>41.40082</v>
      </c>
      <c r="M325" s="24">
        <v>0.145426826130463</v>
      </c>
      <c r="N325" s="26">
        <v>0</v>
      </c>
      <c r="O325" s="27" t="s">
        <v>127</v>
      </c>
      <c r="AH325" s="1">
        <v>8</v>
      </c>
      <c r="AI325" s="1">
        <v>127</v>
      </c>
      <c r="AJ325" s="1">
        <v>27</v>
      </c>
    </row>
    <row r="326" s="2" customFormat="1" spans="1:36">
      <c r="A326" s="2" t="str">
        <f>VLOOKUP(B326,'[1]2. ISIC行业分类'!$A$2:$B$102,2,FALSE)</f>
        <v>C2100</v>
      </c>
      <c r="B326" s="14" t="s">
        <v>126</v>
      </c>
      <c r="C326" s="15" t="s">
        <v>41</v>
      </c>
      <c r="D326" s="16">
        <v>3.67075</v>
      </c>
      <c r="E326" s="16">
        <v>293.80764</v>
      </c>
      <c r="F326" s="17">
        <f t="shared" si="20"/>
        <v>0.0124937186793373</v>
      </c>
      <c r="G326" s="16">
        <v>237.92027</v>
      </c>
      <c r="H326" s="16">
        <v>360.0024</v>
      </c>
      <c r="I326" s="24">
        <v>0.660885232987336</v>
      </c>
      <c r="J326" s="25">
        <v>210.83093</v>
      </c>
      <c r="K326" s="24">
        <v>0.585637567971769</v>
      </c>
      <c r="L326" s="16">
        <v>40.22094</v>
      </c>
      <c r="M326" s="24">
        <v>0.111724088506077</v>
      </c>
      <c r="N326" s="26">
        <v>889</v>
      </c>
      <c r="O326" s="27" t="s">
        <v>127</v>
      </c>
      <c r="AH326" s="1">
        <v>11</v>
      </c>
      <c r="AI326" s="1">
        <v>192</v>
      </c>
      <c r="AJ326" s="1">
        <v>76</v>
      </c>
    </row>
    <row r="327" s="2" customFormat="1" spans="1:36">
      <c r="A327" s="2" t="str">
        <f>VLOOKUP(B327,'[1]2. ISIC行业分类'!$A$2:$B$102,2,FALSE)</f>
        <v>C2100</v>
      </c>
      <c r="B327" s="14" t="s">
        <v>126</v>
      </c>
      <c r="C327" s="15" t="s">
        <v>42</v>
      </c>
      <c r="D327" s="16">
        <v>4.50309</v>
      </c>
      <c r="E327" s="16">
        <v>312.12503</v>
      </c>
      <c r="F327" s="17">
        <f t="shared" si="20"/>
        <v>0.0144271992540938</v>
      </c>
      <c r="G327" s="16">
        <v>316.60866</v>
      </c>
      <c r="H327" s="16">
        <v>418.58942</v>
      </c>
      <c r="I327" s="24">
        <v>0.756370430958336</v>
      </c>
      <c r="J327" s="25">
        <v>259.48935</v>
      </c>
      <c r="K327" s="24">
        <v>0.619913780907315</v>
      </c>
      <c r="L327" s="16">
        <v>52.38493</v>
      </c>
      <c r="M327" s="24">
        <v>0.125146330740992</v>
      </c>
      <c r="N327" s="26">
        <v>973</v>
      </c>
      <c r="O327" s="27" t="s">
        <v>127</v>
      </c>
      <c r="AH327" s="1">
        <v>2</v>
      </c>
      <c r="AI327" s="1">
        <v>30</v>
      </c>
      <c r="AJ327" s="1">
        <v>6</v>
      </c>
    </row>
    <row r="328" s="2" customFormat="1" spans="1:36">
      <c r="A328" s="2" t="str">
        <f>VLOOKUP(B328,'[1]2. ISIC行业分类'!$A$2:$B$102,2,FALSE)</f>
        <v>C2100</v>
      </c>
      <c r="B328" s="14" t="s">
        <v>126</v>
      </c>
      <c r="C328" s="15" t="s">
        <v>43</v>
      </c>
      <c r="D328" s="16">
        <v>8.5748</v>
      </c>
      <c r="E328" s="16">
        <v>348.58377</v>
      </c>
      <c r="F328" s="17">
        <f t="shared" si="20"/>
        <v>0.0245989651210669</v>
      </c>
      <c r="G328" s="16">
        <v>324.68859</v>
      </c>
      <c r="H328" s="16">
        <v>462.98283</v>
      </c>
      <c r="I328" s="24">
        <v>0.701297259770951</v>
      </c>
      <c r="J328" s="25">
        <v>313.62473</v>
      </c>
      <c r="K328" s="24">
        <v>0.677400347654361</v>
      </c>
      <c r="L328" s="16">
        <v>13.30827</v>
      </c>
      <c r="M328" s="24">
        <v>0.0287446296874551</v>
      </c>
      <c r="N328" s="26">
        <v>1101</v>
      </c>
      <c r="O328" s="27" t="s">
        <v>127</v>
      </c>
      <c r="P328" s="1">
        <v>0</v>
      </c>
      <c r="Q328" s="1">
        <v>0</v>
      </c>
      <c r="R328" s="1">
        <v>0</v>
      </c>
      <c r="S328" s="1">
        <v>0</v>
      </c>
      <c r="T328" s="1">
        <v>1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12</v>
      </c>
      <c r="AF328" s="1">
        <v>47344</v>
      </c>
      <c r="AG328" s="33">
        <f t="shared" ref="AG328:AG330" si="21">AE328/AF328</f>
        <v>0.000253464008110848</v>
      </c>
      <c r="AH328" s="1">
        <v>11</v>
      </c>
      <c r="AI328" s="1">
        <v>204</v>
      </c>
      <c r="AJ328" s="1">
        <v>21</v>
      </c>
    </row>
    <row r="329" s="2" customFormat="1" spans="1:36">
      <c r="A329" s="2" t="str">
        <f>VLOOKUP(B329,'[1]2. ISIC行业分类'!$A$2:$B$102,2,FALSE)</f>
        <v>C2100</v>
      </c>
      <c r="B329" s="14" t="s">
        <v>126</v>
      </c>
      <c r="C329" s="15" t="s">
        <v>44</v>
      </c>
      <c r="D329" s="16">
        <v>8.35352</v>
      </c>
      <c r="E329" s="16">
        <v>370.0208</v>
      </c>
      <c r="F329" s="17">
        <f t="shared" si="20"/>
        <v>0.022575811954355</v>
      </c>
      <c r="G329" s="16">
        <v>339.10459</v>
      </c>
      <c r="H329" s="16">
        <v>540.59327</v>
      </c>
      <c r="I329" s="24">
        <v>0.627282300425235</v>
      </c>
      <c r="J329" s="25">
        <v>364.49664</v>
      </c>
      <c r="K329" s="24">
        <v>0.674253010955908</v>
      </c>
      <c r="L329" s="16">
        <v>45.37125</v>
      </c>
      <c r="M329" s="24">
        <v>0.0839286253045659</v>
      </c>
      <c r="N329" s="26">
        <v>1183</v>
      </c>
      <c r="O329" s="27" t="s">
        <v>127</v>
      </c>
      <c r="P329" s="1">
        <v>0</v>
      </c>
      <c r="Q329" s="1">
        <v>0</v>
      </c>
      <c r="R329" s="1">
        <v>0</v>
      </c>
      <c r="S329" s="1">
        <v>0</v>
      </c>
      <c r="T329" s="1">
        <v>1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10</v>
      </c>
      <c r="AF329" s="1">
        <v>51466</v>
      </c>
      <c r="AG329" s="33">
        <f t="shared" si="21"/>
        <v>0.000194303035013407</v>
      </c>
      <c r="AH329" s="1">
        <v>9</v>
      </c>
      <c r="AI329" s="1">
        <v>131</v>
      </c>
      <c r="AJ329" s="1">
        <v>6</v>
      </c>
    </row>
    <row r="330" s="2" customFormat="1" spans="1:36">
      <c r="A330" s="2" t="str">
        <f>VLOOKUP(B330,'[1]2. ISIC行业分类'!$A$2:$B$102,2,FALSE)</f>
        <v>C2100</v>
      </c>
      <c r="B330" s="14" t="s">
        <v>126</v>
      </c>
      <c r="C330" s="15" t="s">
        <v>45</v>
      </c>
      <c r="D330" s="16">
        <v>12.40646</v>
      </c>
      <c r="E330" s="16">
        <v>412.97168</v>
      </c>
      <c r="F330" s="17">
        <f t="shared" si="20"/>
        <v>0.0300419147385603</v>
      </c>
      <c r="G330" s="16">
        <v>298.95258</v>
      </c>
      <c r="H330" s="16">
        <v>556.4267</v>
      </c>
      <c r="I330" s="24">
        <v>0.537272169002674</v>
      </c>
      <c r="J330" s="25">
        <v>409.28125</v>
      </c>
      <c r="K330" s="24">
        <v>0.735552858983942</v>
      </c>
      <c r="L330" s="16">
        <v>58.5932</v>
      </c>
      <c r="M330" s="24">
        <v>0.105302639143664</v>
      </c>
      <c r="N330" s="26">
        <v>1341</v>
      </c>
      <c r="O330" s="27" t="s">
        <v>127</v>
      </c>
      <c r="P330" s="1">
        <v>0</v>
      </c>
      <c r="Q330" s="1">
        <v>0</v>
      </c>
      <c r="R330" s="1">
        <v>0</v>
      </c>
      <c r="S330" s="1">
        <v>0</v>
      </c>
      <c r="T330" s="1">
        <v>1</v>
      </c>
      <c r="U330" s="1">
        <v>2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8</v>
      </c>
      <c r="AF330" s="1">
        <v>54971</v>
      </c>
      <c r="AG330" s="33">
        <f t="shared" si="21"/>
        <v>0.000145531280129523</v>
      </c>
      <c r="AH330" s="1">
        <v>2</v>
      </c>
      <c r="AI330" s="1">
        <v>15</v>
      </c>
      <c r="AJ330" s="1">
        <v>5</v>
      </c>
    </row>
    <row r="331" s="2" customFormat="1" spans="1:36">
      <c r="A331" s="2" t="str">
        <f>VLOOKUP(B331,'[1]2. ISIC行业分类'!$A$2:$B$102,2,FALSE)</f>
        <v>C2100</v>
      </c>
      <c r="B331" s="14" t="s">
        <v>128</v>
      </c>
      <c r="C331" s="15" t="s">
        <v>39</v>
      </c>
      <c r="D331" s="16">
        <v>8.77843</v>
      </c>
      <c r="E331" s="16">
        <v>82.20338</v>
      </c>
      <c r="F331" s="17">
        <f t="shared" si="20"/>
        <v>0.106789161224271</v>
      </c>
      <c r="G331" s="16">
        <v>149.79281</v>
      </c>
      <c r="H331" s="16">
        <v>104.8672</v>
      </c>
      <c r="I331" s="24">
        <v>1.42840478242959</v>
      </c>
      <c r="J331" s="25">
        <v>71.17775</v>
      </c>
      <c r="K331" s="24">
        <v>0.678741780079949</v>
      </c>
      <c r="L331" s="16">
        <v>7.26216</v>
      </c>
      <c r="M331" s="24">
        <v>0.0692510146165817</v>
      </c>
      <c r="N331" s="26">
        <v>0</v>
      </c>
      <c r="O331" s="27" t="s">
        <v>129</v>
      </c>
      <c r="AH331" s="1">
        <v>2</v>
      </c>
      <c r="AI331" s="1">
        <v>45</v>
      </c>
      <c r="AJ331" s="1">
        <v>20</v>
      </c>
    </row>
    <row r="332" s="2" customFormat="1" spans="1:36">
      <c r="A332" s="2" t="str">
        <f>VLOOKUP(B332,'[1]2. ISIC行业分类'!$A$2:$B$102,2,FALSE)</f>
        <v>C2100</v>
      </c>
      <c r="B332" s="14" t="s">
        <v>128</v>
      </c>
      <c r="C332" s="15" t="s">
        <v>40</v>
      </c>
      <c r="D332" s="16">
        <v>9.31488</v>
      </c>
      <c r="E332" s="16">
        <v>91.06538</v>
      </c>
      <c r="F332" s="17">
        <f t="shared" si="20"/>
        <v>0.102287828810466</v>
      </c>
      <c r="G332" s="16">
        <v>96.61736</v>
      </c>
      <c r="H332" s="16">
        <v>115.3976</v>
      </c>
      <c r="I332" s="24">
        <v>0.837256234098456</v>
      </c>
      <c r="J332" s="25">
        <v>74.74153</v>
      </c>
      <c r="K332" s="24">
        <v>0.647687040285067</v>
      </c>
      <c r="L332" s="16">
        <v>3.26291</v>
      </c>
      <c r="M332" s="24">
        <v>0.0282753714115372</v>
      </c>
      <c r="N332" s="26">
        <v>351</v>
      </c>
      <c r="O332" s="27" t="s">
        <v>129</v>
      </c>
      <c r="AH332" s="1">
        <v>1</v>
      </c>
      <c r="AI332" s="1">
        <v>10</v>
      </c>
      <c r="AJ332" s="1">
        <v>5</v>
      </c>
    </row>
    <row r="333" s="2" customFormat="1" spans="1:36">
      <c r="A333" s="2" t="str">
        <f>VLOOKUP(B333,'[1]2. ISIC行业分类'!$A$2:$B$102,2,FALSE)</f>
        <v>C2100</v>
      </c>
      <c r="B333" s="18" t="s">
        <v>128</v>
      </c>
      <c r="C333" s="19">
        <v>2017</v>
      </c>
      <c r="D333" s="20">
        <v>11.66045</v>
      </c>
      <c r="E333" s="20">
        <v>107.78227</v>
      </c>
      <c r="F333" s="17">
        <f t="shared" si="20"/>
        <v>0.108185233062915</v>
      </c>
      <c r="G333" s="20">
        <v>116.41567</v>
      </c>
      <c r="H333" s="20">
        <v>133.89871</v>
      </c>
      <c r="I333" s="28">
        <v>0.869430855607197</v>
      </c>
      <c r="J333" s="29">
        <v>85.37908</v>
      </c>
      <c r="K333" s="28">
        <v>0.637639302126212</v>
      </c>
      <c r="L333" s="20">
        <v>0.88914</v>
      </c>
      <c r="M333" s="28">
        <v>0.00664039257734447</v>
      </c>
      <c r="N333" s="30">
        <v>460</v>
      </c>
      <c r="O333" s="31" t="s">
        <v>129</v>
      </c>
      <c r="AH333" s="2">
        <v>0</v>
      </c>
      <c r="AI333" s="2">
        <v>0</v>
      </c>
      <c r="AJ333" s="2">
        <v>0</v>
      </c>
    </row>
    <row r="334" s="2" customFormat="1" spans="1:36">
      <c r="A334" s="2" t="str">
        <f>VLOOKUP(B334,'[1]2. ISIC行业分类'!$A$2:$B$102,2,FALSE)</f>
        <v>C2100</v>
      </c>
      <c r="B334" s="18" t="s">
        <v>128</v>
      </c>
      <c r="C334" s="19">
        <v>2018</v>
      </c>
      <c r="D334" s="20">
        <v>13.44324</v>
      </c>
      <c r="E334" s="20">
        <v>123.30248</v>
      </c>
      <c r="F334" s="17">
        <f t="shared" si="20"/>
        <v>0.109026517552607</v>
      </c>
      <c r="G334" s="20">
        <v>38.1838</v>
      </c>
      <c r="H334" s="20">
        <v>259.9743</v>
      </c>
      <c r="I334" s="28">
        <v>0.146875287288013</v>
      </c>
      <c r="J334" s="29">
        <v>94.51382</v>
      </c>
      <c r="K334" s="28">
        <v>0.363550627888987</v>
      </c>
      <c r="L334" s="20">
        <v>4.2704</v>
      </c>
      <c r="M334" s="28">
        <v>0.0164262390551681</v>
      </c>
      <c r="N334" s="30">
        <v>561</v>
      </c>
      <c r="O334" s="31" t="s">
        <v>129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2</v>
      </c>
      <c r="AF334" s="1">
        <v>30555</v>
      </c>
      <c r="AG334" s="33">
        <f t="shared" ref="AG334:AG344" si="22">AE334/AF334</f>
        <v>6.54557355588283e-5</v>
      </c>
      <c r="AH334" s="2">
        <v>0</v>
      </c>
      <c r="AI334" s="2">
        <v>0</v>
      </c>
      <c r="AJ334" s="2">
        <v>0</v>
      </c>
    </row>
    <row r="335" s="2" customFormat="1" spans="1:36">
      <c r="A335" s="2" t="str">
        <f>VLOOKUP(B335,'[1]2. ISIC行业分类'!$A$2:$B$102,2,FALSE)</f>
        <v>C2100</v>
      </c>
      <c r="B335" s="14" t="s">
        <v>128</v>
      </c>
      <c r="C335" s="15" t="s">
        <v>43</v>
      </c>
      <c r="D335" s="16">
        <v>15.01906</v>
      </c>
      <c r="E335" s="16">
        <v>134.37819</v>
      </c>
      <c r="F335" s="17">
        <f t="shared" si="20"/>
        <v>0.111767095538346</v>
      </c>
      <c r="G335" s="16">
        <v>75.31182</v>
      </c>
      <c r="H335" s="16">
        <v>297.89709</v>
      </c>
      <c r="I335" s="24">
        <v>0.25281153300289</v>
      </c>
      <c r="J335" s="25">
        <v>130.05332</v>
      </c>
      <c r="K335" s="24">
        <v>0.436571300511865</v>
      </c>
      <c r="L335" s="16">
        <v>2.21636</v>
      </c>
      <c r="M335" s="24">
        <v>0.00744001896762402</v>
      </c>
      <c r="N335" s="26">
        <v>600</v>
      </c>
      <c r="O335" s="27" t="s">
        <v>129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2</v>
      </c>
      <c r="AF335" s="1">
        <v>28130</v>
      </c>
      <c r="AG335" s="33">
        <f t="shared" si="22"/>
        <v>7.10984713828653e-5</v>
      </c>
      <c r="AH335" s="1">
        <v>1</v>
      </c>
      <c r="AI335" s="1">
        <v>0</v>
      </c>
      <c r="AJ335" s="1">
        <v>0</v>
      </c>
    </row>
    <row r="336" s="2" customFormat="1" spans="1:36">
      <c r="A336" s="2" t="str">
        <f>VLOOKUP(B336,'[1]2. ISIC行业分类'!$A$2:$B$102,2,FALSE)</f>
        <v>C2100</v>
      </c>
      <c r="B336" s="14" t="s">
        <v>128</v>
      </c>
      <c r="C336" s="15" t="s">
        <v>44</v>
      </c>
      <c r="D336" s="16">
        <v>18.27937</v>
      </c>
      <c r="E336" s="16">
        <v>144.27351</v>
      </c>
      <c r="F336" s="17">
        <f t="shared" si="20"/>
        <v>0.126699419734087</v>
      </c>
      <c r="G336" s="16">
        <v>78.84261</v>
      </c>
      <c r="H336" s="16">
        <v>319.62918</v>
      </c>
      <c r="I336" s="24">
        <v>0.246668999369832</v>
      </c>
      <c r="J336" s="25">
        <v>151.92759</v>
      </c>
      <c r="K336" s="24">
        <v>0.475324530757799</v>
      </c>
      <c r="L336" s="16">
        <v>-1.06648</v>
      </c>
      <c r="M336" s="24">
        <v>-0.00333661651292288</v>
      </c>
      <c r="N336" s="26">
        <v>636</v>
      </c>
      <c r="O336" s="27" t="s">
        <v>129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2</v>
      </c>
      <c r="AF336" s="1">
        <v>30604</v>
      </c>
      <c r="AG336" s="33">
        <f t="shared" si="22"/>
        <v>6.53509345183636e-5</v>
      </c>
      <c r="AH336" s="1">
        <v>1</v>
      </c>
      <c r="AI336" s="1">
        <v>0</v>
      </c>
      <c r="AJ336" s="1">
        <v>0</v>
      </c>
    </row>
    <row r="337" s="2" customFormat="1" spans="1:36">
      <c r="A337" s="2" t="str">
        <f>VLOOKUP(B337,'[1]2. ISIC行业分类'!$A$2:$B$102,2,FALSE)</f>
        <v>C3250</v>
      </c>
      <c r="B337" s="14" t="s">
        <v>130</v>
      </c>
      <c r="C337" s="15" t="s">
        <v>45</v>
      </c>
      <c r="D337" s="16">
        <v>25.23009</v>
      </c>
      <c r="E337" s="16">
        <v>501.63996</v>
      </c>
      <c r="F337" s="17">
        <f t="shared" si="20"/>
        <v>0.0502952157160686</v>
      </c>
      <c r="G337" s="16">
        <v>483.21102</v>
      </c>
      <c r="H337" s="16">
        <v>1068.87814</v>
      </c>
      <c r="I337" s="24">
        <v>0.452073067936444</v>
      </c>
      <c r="J337" s="25">
        <v>431.3248</v>
      </c>
      <c r="K337" s="24">
        <v>0.403530378121495</v>
      </c>
      <c r="L337" s="16">
        <v>48.26625</v>
      </c>
      <c r="M337" s="24">
        <v>0.0451559894376734</v>
      </c>
      <c r="N337" s="26">
        <v>2036</v>
      </c>
      <c r="O337" s="27" t="s">
        <v>131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43868</v>
      </c>
      <c r="AG337" s="33">
        <f t="shared" si="22"/>
        <v>0</v>
      </c>
      <c r="AH337" s="1">
        <v>1</v>
      </c>
      <c r="AI337" s="1">
        <v>10</v>
      </c>
      <c r="AJ337" s="1">
        <v>0</v>
      </c>
    </row>
    <row r="338" s="2" customFormat="1" spans="1:36">
      <c r="A338" s="2" t="str">
        <f>VLOOKUP(B338,'[1]2. ISIC行业分类'!$A$2:$B$102,2,FALSE)</f>
        <v>C2511</v>
      </c>
      <c r="B338" s="14" t="s">
        <v>132</v>
      </c>
      <c r="C338" s="15" t="s">
        <v>39</v>
      </c>
      <c r="D338" s="16">
        <v>83.25928</v>
      </c>
      <c r="E338" s="16">
        <v>912.94733</v>
      </c>
      <c r="F338" s="17">
        <f t="shared" si="20"/>
        <v>0.0911983389008871</v>
      </c>
      <c r="G338" s="16">
        <v>250.81651</v>
      </c>
      <c r="H338" s="16">
        <v>1082.4782</v>
      </c>
      <c r="I338" s="24">
        <v>0.231705830195934</v>
      </c>
      <c r="J338" s="25">
        <v>523.29581</v>
      </c>
      <c r="K338" s="24">
        <v>0.483423878651782</v>
      </c>
      <c r="L338" s="16">
        <v>56.87618</v>
      </c>
      <c r="M338" s="24">
        <v>0.052542563905675</v>
      </c>
      <c r="N338" s="26">
        <v>3812</v>
      </c>
      <c r="O338" s="27" t="s">
        <v>133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25132</v>
      </c>
      <c r="AG338" s="33">
        <f t="shared" si="22"/>
        <v>0</v>
      </c>
      <c r="AH338" s="1">
        <v>1</v>
      </c>
      <c r="AI338" s="1">
        <v>6</v>
      </c>
      <c r="AJ338" s="1">
        <v>0</v>
      </c>
    </row>
    <row r="339" s="2" customFormat="1" spans="1:36">
      <c r="A339" s="2" t="str">
        <f>VLOOKUP(B339,'[1]2. ISIC行业分类'!$A$2:$B$102,2,FALSE)</f>
        <v>C2511</v>
      </c>
      <c r="B339" s="18" t="s">
        <v>132</v>
      </c>
      <c r="C339" s="19">
        <v>2016</v>
      </c>
      <c r="D339" s="20">
        <v>0</v>
      </c>
      <c r="E339" s="20">
        <v>933.00912</v>
      </c>
      <c r="F339" s="17">
        <f t="shared" si="20"/>
        <v>0</v>
      </c>
      <c r="G339" s="20">
        <v>262.22607</v>
      </c>
      <c r="H339" s="20">
        <v>1134.74374</v>
      </c>
      <c r="I339" s="28">
        <v>0.231088360090887</v>
      </c>
      <c r="J339" s="29">
        <v>494.54016</v>
      </c>
      <c r="K339" s="28">
        <v>0.435816601200197</v>
      </c>
      <c r="L339" s="20">
        <v>83.61161</v>
      </c>
      <c r="M339" s="28">
        <v>0.0736832529254579</v>
      </c>
      <c r="N339" s="30">
        <v>3919</v>
      </c>
      <c r="O339" s="31" t="s">
        <v>133</v>
      </c>
      <c r="P339" s="1">
        <v>1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2</v>
      </c>
      <c r="AF339" s="1">
        <v>24163</v>
      </c>
      <c r="AG339" s="33">
        <f t="shared" si="22"/>
        <v>8.27711790754459e-5</v>
      </c>
      <c r="AH339" s="2">
        <v>0</v>
      </c>
      <c r="AI339" s="2">
        <v>0</v>
      </c>
      <c r="AJ339" s="2">
        <v>0</v>
      </c>
    </row>
    <row r="340" s="2" customFormat="1" spans="1:36">
      <c r="A340" s="2" t="str">
        <f>VLOOKUP(B340,'[1]2. ISIC行业分类'!$A$2:$B$102,2,FALSE)</f>
        <v>C2511</v>
      </c>
      <c r="B340" s="14" t="s">
        <v>132</v>
      </c>
      <c r="C340" s="15" t="s">
        <v>41</v>
      </c>
      <c r="D340" s="16">
        <v>87.58842</v>
      </c>
      <c r="E340" s="16">
        <v>973.82101</v>
      </c>
      <c r="F340" s="17">
        <f t="shared" si="20"/>
        <v>0.0899430378894783</v>
      </c>
      <c r="G340" s="16">
        <v>275.04823</v>
      </c>
      <c r="H340" s="16">
        <v>1218.65765</v>
      </c>
      <c r="I340" s="24">
        <v>0.22569770107298</v>
      </c>
      <c r="J340" s="25">
        <v>571.54921</v>
      </c>
      <c r="K340" s="24">
        <v>0.468998992456987</v>
      </c>
      <c r="L340" s="16">
        <v>69.43852</v>
      </c>
      <c r="M340" s="24">
        <v>0.0569795134835448</v>
      </c>
      <c r="N340" s="26">
        <v>4015</v>
      </c>
      <c r="O340" s="27" t="s">
        <v>133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26214</v>
      </c>
      <c r="AG340" s="33">
        <f t="shared" si="22"/>
        <v>0</v>
      </c>
      <c r="AH340" s="1">
        <v>2</v>
      </c>
      <c r="AI340" s="1">
        <v>20</v>
      </c>
      <c r="AJ340" s="1">
        <v>6</v>
      </c>
    </row>
    <row r="341" s="2" customFormat="1" spans="1:36">
      <c r="A341" s="2" t="str">
        <f>VLOOKUP(B341,'[1]2. ISIC行业分类'!$A$2:$B$102,2,FALSE)</f>
        <v>C2511</v>
      </c>
      <c r="B341" s="14" t="s">
        <v>132</v>
      </c>
      <c r="C341" s="15" t="s">
        <v>42</v>
      </c>
      <c r="D341" s="16">
        <v>100.0059</v>
      </c>
      <c r="E341" s="16">
        <v>1199.79369</v>
      </c>
      <c r="F341" s="17">
        <f t="shared" si="20"/>
        <v>0.083352580392384</v>
      </c>
      <c r="G341" s="16">
        <v>345.34127</v>
      </c>
      <c r="H341" s="16">
        <v>1126.25717</v>
      </c>
      <c r="I341" s="24">
        <v>0.306627366465512</v>
      </c>
      <c r="J341" s="25">
        <v>613.11029</v>
      </c>
      <c r="K341" s="24">
        <v>0.544378589838411</v>
      </c>
      <c r="L341" s="16">
        <v>64.60019</v>
      </c>
      <c r="M341" s="24">
        <v>0.0573582941096837</v>
      </c>
      <c r="N341" s="26">
        <v>5204</v>
      </c>
      <c r="O341" s="27" t="s">
        <v>133</v>
      </c>
      <c r="P341" s="1">
        <v>1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2</v>
      </c>
      <c r="AF341" s="1">
        <v>27856</v>
      </c>
      <c r="AG341" s="33">
        <f t="shared" si="22"/>
        <v>7.17978173463527e-5</v>
      </c>
      <c r="AH341" s="1">
        <v>2</v>
      </c>
      <c r="AI341" s="1">
        <v>22</v>
      </c>
      <c r="AJ341" s="1">
        <v>3</v>
      </c>
    </row>
    <row r="342" s="2" customFormat="1" spans="1:36">
      <c r="A342" s="2" t="str">
        <f>VLOOKUP(B342,'[1]2. ISIC行业分类'!$A$2:$B$102,2,FALSE)</f>
        <v>C2511</v>
      </c>
      <c r="B342" s="14" t="s">
        <v>132</v>
      </c>
      <c r="C342" s="15" t="s">
        <v>43</v>
      </c>
      <c r="D342" s="16">
        <v>107.79831</v>
      </c>
      <c r="E342" s="16">
        <v>1235.83</v>
      </c>
      <c r="F342" s="17">
        <f t="shared" si="20"/>
        <v>0.0872274584692069</v>
      </c>
      <c r="G342" s="16">
        <v>331.02252</v>
      </c>
      <c r="H342" s="16">
        <v>1118.36467</v>
      </c>
      <c r="I342" s="24">
        <v>0.295987998261783</v>
      </c>
      <c r="J342" s="25">
        <v>690.8982</v>
      </c>
      <c r="K342" s="24">
        <v>0.617775416671558</v>
      </c>
      <c r="L342" s="16">
        <v>30.16758</v>
      </c>
      <c r="M342" s="24">
        <v>0.0269747255159625</v>
      </c>
      <c r="N342" s="26">
        <v>5165</v>
      </c>
      <c r="O342" s="27" t="s">
        <v>133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29018</v>
      </c>
      <c r="AG342" s="33">
        <f t="shared" si="22"/>
        <v>0</v>
      </c>
      <c r="AH342" s="1">
        <v>4</v>
      </c>
      <c r="AI342" s="1">
        <v>95</v>
      </c>
      <c r="AJ342" s="1">
        <v>14</v>
      </c>
    </row>
    <row r="343" s="2" customFormat="1" spans="1:36">
      <c r="A343" s="2" t="str">
        <f>VLOOKUP(B343,'[1]2. ISIC行业分类'!$A$2:$B$102,2,FALSE)</f>
        <v>C2511</v>
      </c>
      <c r="B343" s="14" t="s">
        <v>132</v>
      </c>
      <c r="C343" s="15" t="s">
        <v>44</v>
      </c>
      <c r="D343" s="16">
        <v>84.84883</v>
      </c>
      <c r="E343" s="16">
        <v>930.81775</v>
      </c>
      <c r="F343" s="17">
        <f t="shared" si="20"/>
        <v>0.0911551482553916</v>
      </c>
      <c r="G343" s="16">
        <v>172.18988</v>
      </c>
      <c r="H343" s="16">
        <v>717.987</v>
      </c>
      <c r="I343" s="24">
        <v>0.239823116574534</v>
      </c>
      <c r="J343" s="25">
        <v>306.10229</v>
      </c>
      <c r="K343" s="24">
        <v>0.426334028331989</v>
      </c>
      <c r="L343" s="16">
        <v>16.17632</v>
      </c>
      <c r="M343" s="24">
        <v>0.022530101519944</v>
      </c>
      <c r="N343" s="26">
        <v>3090</v>
      </c>
      <c r="O343" s="27" t="s">
        <v>133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30431</v>
      </c>
      <c r="AG343" s="33">
        <f t="shared" si="22"/>
        <v>0</v>
      </c>
      <c r="AH343" s="1">
        <v>1</v>
      </c>
      <c r="AI343" s="1">
        <v>6</v>
      </c>
      <c r="AJ343" s="1">
        <v>1</v>
      </c>
    </row>
    <row r="344" s="2" customFormat="1" spans="1:36">
      <c r="A344" s="2" t="str">
        <f>VLOOKUP(B344,'[1]2. ISIC行业分类'!$A$2:$B$102,2,FALSE)</f>
        <v>C2511</v>
      </c>
      <c r="B344" s="14" t="s">
        <v>132</v>
      </c>
      <c r="C344" s="15" t="s">
        <v>45</v>
      </c>
      <c r="D344" s="16">
        <v>66.28163</v>
      </c>
      <c r="E344" s="16">
        <v>726.06268</v>
      </c>
      <c r="F344" s="17">
        <f t="shared" si="20"/>
        <v>0.091289129472954</v>
      </c>
      <c r="G344" s="16">
        <v>218.77557</v>
      </c>
      <c r="H344" s="16">
        <v>785.01552</v>
      </c>
      <c r="I344" s="24">
        <v>0.278689483744219</v>
      </c>
      <c r="J344" s="25">
        <v>303.98416</v>
      </c>
      <c r="K344" s="24">
        <v>0.387233312278972</v>
      </c>
      <c r="L344" s="16">
        <v>53.51411</v>
      </c>
      <c r="M344" s="24">
        <v>0.0681694930056924</v>
      </c>
      <c r="N344" s="26">
        <v>3321</v>
      </c>
      <c r="O344" s="27" t="s">
        <v>133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32806</v>
      </c>
      <c r="AG344" s="33">
        <f t="shared" si="22"/>
        <v>0</v>
      </c>
      <c r="AH344" s="1">
        <v>1</v>
      </c>
      <c r="AI344" s="1">
        <v>11</v>
      </c>
      <c r="AJ344" s="1">
        <v>0</v>
      </c>
    </row>
    <row r="345" s="2" customFormat="1" spans="1:36">
      <c r="A345" s="2" t="str">
        <f>VLOOKUP(B345,'[1]2. ISIC行业分类'!$A$2:$B$102,2,FALSE)</f>
        <v>C2790</v>
      </c>
      <c r="B345" s="14" t="s">
        <v>134</v>
      </c>
      <c r="C345" s="15" t="s">
        <v>37</v>
      </c>
      <c r="D345" s="16">
        <v>9.580145</v>
      </c>
      <c r="E345" s="16">
        <v>317.95724</v>
      </c>
      <c r="F345" s="17">
        <f t="shared" si="20"/>
        <v>0.0301302936206139</v>
      </c>
      <c r="G345" s="16">
        <v>406.16494</v>
      </c>
      <c r="H345" s="16">
        <v>760.95172</v>
      </c>
      <c r="I345" s="24">
        <v>0.533759145718207</v>
      </c>
      <c r="J345" s="25">
        <v>200.76709</v>
      </c>
      <c r="K345" s="24">
        <v>0.263836830541628</v>
      </c>
      <c r="L345" s="16">
        <v>-133.62326</v>
      </c>
      <c r="M345" s="24">
        <v>-0.175600181309795</v>
      </c>
      <c r="N345" s="26">
        <v>1752</v>
      </c>
      <c r="O345" s="27" t="s">
        <v>135</v>
      </c>
      <c r="AH345" s="1">
        <v>1</v>
      </c>
      <c r="AI345" s="1">
        <v>22</v>
      </c>
      <c r="AJ345" s="1">
        <v>4</v>
      </c>
    </row>
    <row r="346" s="2" customFormat="1" spans="1:36">
      <c r="A346" s="2" t="str">
        <f>VLOOKUP(B346,'[1]2. ISIC行业分类'!$A$2:$B$102,2,FALSE)</f>
        <v>C2790</v>
      </c>
      <c r="B346" s="14" t="s">
        <v>134</v>
      </c>
      <c r="C346" s="15" t="s">
        <v>39</v>
      </c>
      <c r="D346" s="16">
        <v>8.23056</v>
      </c>
      <c r="E346" s="16">
        <v>323.17596</v>
      </c>
      <c r="F346" s="17">
        <f t="shared" si="20"/>
        <v>0.0254677359046137</v>
      </c>
      <c r="G346" s="16">
        <v>396.81985</v>
      </c>
      <c r="H346" s="16">
        <v>571.61235</v>
      </c>
      <c r="I346" s="24">
        <v>0.694211470413472</v>
      </c>
      <c r="J346" s="25">
        <v>192.36124</v>
      </c>
      <c r="K346" s="24">
        <v>0.336523939694445</v>
      </c>
      <c r="L346" s="16">
        <v>-168.24243</v>
      </c>
      <c r="M346" s="24">
        <v>-0.294329592423957</v>
      </c>
      <c r="N346" s="26">
        <v>1525</v>
      </c>
      <c r="O346" s="27" t="s">
        <v>135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1</v>
      </c>
      <c r="Z346" s="1">
        <v>1</v>
      </c>
      <c r="AA346" s="1">
        <v>0</v>
      </c>
      <c r="AB346" s="1">
        <v>0</v>
      </c>
      <c r="AC346" s="1">
        <v>0</v>
      </c>
      <c r="AD346" s="1">
        <v>0</v>
      </c>
      <c r="AE346" s="1">
        <v>2</v>
      </c>
      <c r="AF346" s="1">
        <v>43501</v>
      </c>
      <c r="AG346" s="33">
        <f t="shared" ref="AG346:AG384" si="23">AE346/AF346</f>
        <v>4.59759545757569e-5</v>
      </c>
      <c r="AH346" s="1">
        <v>3</v>
      </c>
      <c r="AI346" s="1">
        <v>65</v>
      </c>
      <c r="AJ346" s="1">
        <v>33</v>
      </c>
    </row>
    <row r="347" s="2" customFormat="1" spans="1:36">
      <c r="A347" s="2" t="str">
        <f>VLOOKUP(B347,'[1]2. ISIC行业分类'!$A$2:$B$102,2,FALSE)</f>
        <v>C2790</v>
      </c>
      <c r="B347" s="14" t="s">
        <v>134</v>
      </c>
      <c r="C347" s="15" t="s">
        <v>40</v>
      </c>
      <c r="D347" s="16">
        <v>8.064175</v>
      </c>
      <c r="E347" s="16">
        <v>446.06608</v>
      </c>
      <c r="F347" s="17">
        <f t="shared" si="20"/>
        <v>0.0180784313391415</v>
      </c>
      <c r="G347" s="16">
        <v>389.32052</v>
      </c>
      <c r="H347" s="16">
        <v>620.10376</v>
      </c>
      <c r="I347" s="24">
        <v>0.627831251982733</v>
      </c>
      <c r="J347" s="25">
        <v>190.07659</v>
      </c>
      <c r="K347" s="24">
        <v>0.30652384691233</v>
      </c>
      <c r="L347" s="16">
        <v>-95.34348</v>
      </c>
      <c r="M347" s="24">
        <v>-0.153754074963196</v>
      </c>
      <c r="N347" s="26">
        <v>1435</v>
      </c>
      <c r="O347" s="27" t="s">
        <v>135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1</v>
      </c>
      <c r="Z347" s="1">
        <v>1</v>
      </c>
      <c r="AA347" s="1">
        <v>0</v>
      </c>
      <c r="AB347" s="1">
        <v>0</v>
      </c>
      <c r="AC347" s="1">
        <v>0</v>
      </c>
      <c r="AD347" s="1">
        <v>0</v>
      </c>
      <c r="AE347" s="1">
        <v>2</v>
      </c>
      <c r="AF347" s="1">
        <v>46686</v>
      </c>
      <c r="AG347" s="33">
        <f t="shared" si="23"/>
        <v>4.28393951077411e-5</v>
      </c>
      <c r="AH347" s="1">
        <v>5</v>
      </c>
      <c r="AI347" s="1">
        <v>101</v>
      </c>
      <c r="AJ347" s="1">
        <v>22</v>
      </c>
    </row>
    <row r="348" s="2" customFormat="1" spans="1:36">
      <c r="A348" s="2" t="str">
        <f>VLOOKUP(B348,'[1]2. ISIC行业分类'!$A$2:$B$102,2,FALSE)</f>
        <v>C2790</v>
      </c>
      <c r="B348" s="14" t="s">
        <v>134</v>
      </c>
      <c r="C348" s="15" t="s">
        <v>41</v>
      </c>
      <c r="D348" s="16">
        <v>7.69488</v>
      </c>
      <c r="E348" s="16">
        <v>485.60992</v>
      </c>
      <c r="F348" s="17">
        <f t="shared" si="20"/>
        <v>0.0158458047973979</v>
      </c>
      <c r="G348" s="16">
        <v>232.95231</v>
      </c>
      <c r="H348" s="16">
        <v>482.25148</v>
      </c>
      <c r="I348" s="24">
        <v>0.48305151909539</v>
      </c>
      <c r="J348" s="25">
        <v>173.10992</v>
      </c>
      <c r="K348" s="24">
        <v>0.35896192584002</v>
      </c>
      <c r="L348" s="16">
        <v>-81.28181</v>
      </c>
      <c r="M348" s="24">
        <v>-0.168546522656602</v>
      </c>
      <c r="N348" s="26">
        <v>1276</v>
      </c>
      <c r="O348" s="27" t="s">
        <v>135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1</v>
      </c>
      <c r="Z348" s="1">
        <v>1</v>
      </c>
      <c r="AA348" s="1">
        <v>0</v>
      </c>
      <c r="AB348" s="1">
        <v>0</v>
      </c>
      <c r="AC348" s="1">
        <v>0</v>
      </c>
      <c r="AD348" s="1">
        <v>0</v>
      </c>
      <c r="AE348" s="1">
        <v>2</v>
      </c>
      <c r="AF348" s="1">
        <v>45097</v>
      </c>
      <c r="AG348" s="33">
        <f t="shared" si="23"/>
        <v>4.43488480386722e-5</v>
      </c>
      <c r="AH348" s="1">
        <v>6</v>
      </c>
      <c r="AI348" s="1">
        <v>117</v>
      </c>
      <c r="AJ348" s="1">
        <v>21</v>
      </c>
    </row>
    <row r="349" s="2" customFormat="1" spans="1:36">
      <c r="A349" s="2" t="str">
        <f>VLOOKUP(B349,'[1]2. ISIC行业分类'!$A$2:$B$102,2,FALSE)</f>
        <v>C2790</v>
      </c>
      <c r="B349" s="14" t="s">
        <v>134</v>
      </c>
      <c r="C349" s="15" t="s">
        <v>42</v>
      </c>
      <c r="D349" s="16">
        <v>9.09636</v>
      </c>
      <c r="E349" s="16">
        <v>413.60116</v>
      </c>
      <c r="F349" s="17">
        <f t="shared" si="20"/>
        <v>0.0219930717795859</v>
      </c>
      <c r="G349" s="16">
        <v>170.17155</v>
      </c>
      <c r="H349" s="16">
        <v>354.84471</v>
      </c>
      <c r="I349" s="24">
        <v>0.479566258716383</v>
      </c>
      <c r="J349" s="25">
        <v>164.16623</v>
      </c>
      <c r="K349" s="24">
        <v>0.462642461261435</v>
      </c>
      <c r="L349" s="16">
        <v>-60.40591</v>
      </c>
      <c r="M349" s="24">
        <v>-0.170231958650306</v>
      </c>
      <c r="N349" s="26">
        <v>1191</v>
      </c>
      <c r="O349" s="27" t="s">
        <v>135</v>
      </c>
      <c r="P349" s="1">
        <v>0</v>
      </c>
      <c r="Q349" s="1">
        <v>1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1</v>
      </c>
      <c r="Z349" s="1">
        <v>1</v>
      </c>
      <c r="AA349" s="1">
        <v>0</v>
      </c>
      <c r="AB349" s="1">
        <v>0</v>
      </c>
      <c r="AC349" s="1">
        <v>0</v>
      </c>
      <c r="AD349" s="1">
        <v>0</v>
      </c>
      <c r="AE349" s="1">
        <v>4</v>
      </c>
      <c r="AF349" s="1">
        <v>44679</v>
      </c>
      <c r="AG349" s="33">
        <f t="shared" si="23"/>
        <v>8.95275185210054e-5</v>
      </c>
      <c r="AH349" s="1">
        <v>2</v>
      </c>
      <c r="AI349" s="1">
        <v>44</v>
      </c>
      <c r="AJ349" s="1">
        <v>7</v>
      </c>
    </row>
    <row r="350" s="2" customFormat="1" spans="1:36">
      <c r="A350" s="2" t="str">
        <f>VLOOKUP(B350,'[1]2. ISIC行业分类'!$A$2:$B$102,2,FALSE)</f>
        <v>C2790</v>
      </c>
      <c r="B350" s="14" t="s">
        <v>134</v>
      </c>
      <c r="C350" s="15" t="s">
        <v>43</v>
      </c>
      <c r="D350" s="16">
        <v>5.42168</v>
      </c>
      <c r="E350" s="16">
        <v>270.53764</v>
      </c>
      <c r="F350" s="17">
        <f t="shared" si="20"/>
        <v>0.02004039068279</v>
      </c>
      <c r="G350" s="16">
        <v>101.65309</v>
      </c>
      <c r="H350" s="16">
        <v>276.2424</v>
      </c>
      <c r="I350" s="24">
        <v>0.367985110178597</v>
      </c>
      <c r="J350" s="25">
        <v>88.86514</v>
      </c>
      <c r="K350" s="24">
        <v>0.321692614891849</v>
      </c>
      <c r="L350" s="16">
        <v>-23.68739</v>
      </c>
      <c r="M350" s="24">
        <v>-0.0857485672004008</v>
      </c>
      <c r="N350" s="26">
        <v>832</v>
      </c>
      <c r="O350" s="27" t="s">
        <v>135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41959</v>
      </c>
      <c r="AG350" s="33">
        <f t="shared" si="23"/>
        <v>0</v>
      </c>
      <c r="AH350" s="1">
        <v>1</v>
      </c>
      <c r="AI350" s="1">
        <v>20</v>
      </c>
      <c r="AJ350" s="1">
        <v>1</v>
      </c>
    </row>
    <row r="351" s="2" customFormat="1" spans="1:36">
      <c r="A351" s="2" t="str">
        <f>VLOOKUP(B351,'[1]2. ISIC行业分类'!$A$2:$B$102,2,FALSE)</f>
        <v>C2790</v>
      </c>
      <c r="B351" s="14" t="s">
        <v>134</v>
      </c>
      <c r="C351" s="15" t="s">
        <v>44</v>
      </c>
      <c r="D351" s="16">
        <v>5.42811</v>
      </c>
      <c r="E351" s="16">
        <v>102.24018</v>
      </c>
      <c r="F351" s="17">
        <f t="shared" si="20"/>
        <v>0.0530917492516152</v>
      </c>
      <c r="G351" s="16">
        <v>41.85928</v>
      </c>
      <c r="H351" s="16">
        <v>335.46991</v>
      </c>
      <c r="I351" s="24">
        <v>0.124778046412568</v>
      </c>
      <c r="J351" s="25">
        <v>99.32975</v>
      </c>
      <c r="K351" s="24">
        <v>0.29609138417213</v>
      </c>
      <c r="L351" s="16">
        <v>-72.87708</v>
      </c>
      <c r="M351" s="24">
        <v>-0.217238797959555</v>
      </c>
      <c r="N351" s="26">
        <v>569</v>
      </c>
      <c r="O351" s="27" t="s">
        <v>135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43165</v>
      </c>
      <c r="AG351" s="33">
        <f t="shared" si="23"/>
        <v>0</v>
      </c>
      <c r="AH351" s="1">
        <v>1</v>
      </c>
      <c r="AI351" s="1">
        <v>27</v>
      </c>
      <c r="AJ351" s="1">
        <v>3</v>
      </c>
    </row>
    <row r="352" s="2" customFormat="1" spans="1:36">
      <c r="A352" s="2" t="str">
        <f>VLOOKUP(B352,'[1]2. ISIC行业分类'!$A$2:$B$102,2,FALSE)</f>
        <v>C2790</v>
      </c>
      <c r="B352" s="14" t="s">
        <v>134</v>
      </c>
      <c r="C352" s="15" t="s">
        <v>45</v>
      </c>
      <c r="D352" s="16">
        <v>3.97087</v>
      </c>
      <c r="E352" s="16">
        <v>43.7742</v>
      </c>
      <c r="F352" s="17">
        <f t="shared" si="20"/>
        <v>0.0907125658492902</v>
      </c>
      <c r="G352" s="16">
        <v>253.71815</v>
      </c>
      <c r="H352" s="16">
        <v>540.49648</v>
      </c>
      <c r="I352" s="24">
        <v>0.469416840605511</v>
      </c>
      <c r="J352" s="25">
        <v>194.24535</v>
      </c>
      <c r="K352" s="24">
        <v>0.359383191542709</v>
      </c>
      <c r="L352" s="16">
        <v>-110.23025</v>
      </c>
      <c r="M352" s="24">
        <v>-0.203942586268092</v>
      </c>
      <c r="N352" s="26">
        <v>805</v>
      </c>
      <c r="O352" s="27" t="s">
        <v>135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47037</v>
      </c>
      <c r="AG352" s="33">
        <f t="shared" si="23"/>
        <v>0</v>
      </c>
      <c r="AH352" s="1">
        <v>2</v>
      </c>
      <c r="AI352" s="1">
        <v>20</v>
      </c>
      <c r="AJ352" s="1">
        <v>5</v>
      </c>
    </row>
    <row r="353" s="2" customFormat="1" spans="1:36">
      <c r="A353" s="2" t="str">
        <f>VLOOKUP(B353,'[1]2. ISIC行业分类'!$A$2:$B$102,2,FALSE)</f>
        <v>C2822</v>
      </c>
      <c r="B353" s="14" t="s">
        <v>136</v>
      </c>
      <c r="C353" s="15" t="s">
        <v>39</v>
      </c>
      <c r="D353" s="16">
        <v>5.928</v>
      </c>
      <c r="E353" s="16">
        <v>228.40962</v>
      </c>
      <c r="F353" s="17">
        <f t="shared" si="20"/>
        <v>0.0259533727169635</v>
      </c>
      <c r="G353" s="16">
        <v>89.19408</v>
      </c>
      <c r="H353" s="16">
        <v>243.57827</v>
      </c>
      <c r="I353" s="24">
        <v>0.366182418489137</v>
      </c>
      <c r="J353" s="25">
        <v>173.25037</v>
      </c>
      <c r="K353" s="24">
        <v>0.711271863454815</v>
      </c>
      <c r="L353" s="16">
        <v>0.92089</v>
      </c>
      <c r="M353" s="24">
        <v>0.00378067386717214</v>
      </c>
      <c r="N353" s="26">
        <v>1181</v>
      </c>
      <c r="O353" s="27" t="s">
        <v>137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4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8</v>
      </c>
      <c r="AF353" s="1">
        <v>26747</v>
      </c>
      <c r="AG353" s="33">
        <f t="shared" si="23"/>
        <v>0.000299098964369836</v>
      </c>
      <c r="AH353" s="1">
        <v>3</v>
      </c>
      <c r="AI353" s="1">
        <v>52</v>
      </c>
      <c r="AJ353" s="1">
        <v>3</v>
      </c>
    </row>
    <row r="354" s="2" customFormat="1" spans="1:36">
      <c r="A354" s="2" t="str">
        <f>VLOOKUP(B354,'[1]2. ISIC行业分类'!$A$2:$B$102,2,FALSE)</f>
        <v>C2822</v>
      </c>
      <c r="B354" s="14" t="s">
        <v>136</v>
      </c>
      <c r="C354" s="15" t="s">
        <v>40</v>
      </c>
      <c r="D354" s="16">
        <v>7.2065</v>
      </c>
      <c r="E354" s="16">
        <v>252.00929</v>
      </c>
      <c r="F354" s="17">
        <f t="shared" si="20"/>
        <v>0.0285961680222185</v>
      </c>
      <c r="G354" s="16">
        <v>93.92487</v>
      </c>
      <c r="H354" s="16">
        <v>247.84402</v>
      </c>
      <c r="I354" s="24">
        <v>0.378967666841427</v>
      </c>
      <c r="J354" s="25">
        <v>172.70472</v>
      </c>
      <c r="K354" s="24">
        <v>0.696828271265129</v>
      </c>
      <c r="L354" s="16">
        <v>2.3007</v>
      </c>
      <c r="M354" s="24">
        <v>0.00928285459540238</v>
      </c>
      <c r="N354" s="26">
        <v>1249</v>
      </c>
      <c r="O354" s="27" t="s">
        <v>137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32669</v>
      </c>
      <c r="AG354" s="33">
        <f t="shared" si="23"/>
        <v>0</v>
      </c>
      <c r="AH354" s="1">
        <v>2</v>
      </c>
      <c r="AI354" s="1">
        <v>34</v>
      </c>
      <c r="AJ354" s="1">
        <v>12</v>
      </c>
    </row>
    <row r="355" s="2" customFormat="1" spans="1:36">
      <c r="A355" s="2" t="str">
        <f>VLOOKUP(B355,'[1]2. ISIC行业分类'!$A$2:$B$102,2,FALSE)</f>
        <v>C2822</v>
      </c>
      <c r="B355" s="14" t="s">
        <v>136</v>
      </c>
      <c r="C355" s="15" t="s">
        <v>41</v>
      </c>
      <c r="D355" s="16">
        <v>8.976</v>
      </c>
      <c r="E355" s="16">
        <v>255.97398</v>
      </c>
      <c r="F355" s="17">
        <f t="shared" si="20"/>
        <v>0.0350660641366751</v>
      </c>
      <c r="G355" s="16">
        <v>111.18248</v>
      </c>
      <c r="H355" s="16">
        <v>272.63483</v>
      </c>
      <c r="I355" s="24">
        <v>0.407807322343957</v>
      </c>
      <c r="J355" s="25">
        <v>188.00382</v>
      </c>
      <c r="K355" s="24">
        <v>0.68958107810363</v>
      </c>
      <c r="L355" s="16">
        <v>1.18618</v>
      </c>
      <c r="M355" s="24">
        <v>0.00435080139980647</v>
      </c>
      <c r="N355" s="26">
        <v>1275</v>
      </c>
      <c r="O355" s="27" t="s">
        <v>137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31155</v>
      </c>
      <c r="AG355" s="33">
        <f t="shared" si="23"/>
        <v>0</v>
      </c>
      <c r="AH355" s="1">
        <v>1</v>
      </c>
      <c r="AI355" s="1">
        <v>9</v>
      </c>
      <c r="AJ355" s="1">
        <v>9</v>
      </c>
    </row>
    <row r="356" s="2" customFormat="1" spans="1:36">
      <c r="A356" s="2" t="str">
        <f>VLOOKUP(B356,'[1]2. ISIC行业分类'!$A$2:$B$102,2,FALSE)</f>
        <v>C2822</v>
      </c>
      <c r="B356" s="14" t="s">
        <v>136</v>
      </c>
      <c r="C356" s="15" t="s">
        <v>42</v>
      </c>
      <c r="D356" s="16">
        <v>11.832</v>
      </c>
      <c r="E356" s="16">
        <v>320.85654</v>
      </c>
      <c r="F356" s="17">
        <f t="shared" si="20"/>
        <v>0.0368762936856453</v>
      </c>
      <c r="G356" s="16">
        <v>127.25314</v>
      </c>
      <c r="H356" s="16">
        <v>294.24062</v>
      </c>
      <c r="I356" s="24">
        <v>0.432479852713742</v>
      </c>
      <c r="J356" s="25">
        <v>196.12179</v>
      </c>
      <c r="K356" s="24">
        <v>0.66653540221605</v>
      </c>
      <c r="L356" s="16">
        <v>12.44258</v>
      </c>
      <c r="M356" s="24">
        <v>0.0422870914287769</v>
      </c>
      <c r="N356" s="26">
        <v>1398</v>
      </c>
      <c r="O356" s="27" t="s">
        <v>137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2</v>
      </c>
      <c r="AF356" s="1">
        <v>29717</v>
      </c>
      <c r="AG356" s="33">
        <f t="shared" si="23"/>
        <v>6.73015445704479e-5</v>
      </c>
      <c r="AH356" s="1">
        <v>3</v>
      </c>
      <c r="AI356" s="1">
        <v>41</v>
      </c>
      <c r="AJ356" s="1">
        <v>6</v>
      </c>
    </row>
    <row r="357" s="2" customFormat="1" spans="1:36">
      <c r="A357" s="2" t="str">
        <f>VLOOKUP(B357,'[1]2. ISIC行业分类'!$A$2:$B$102,2,FALSE)</f>
        <v>C2822</v>
      </c>
      <c r="B357" s="14" t="s">
        <v>136</v>
      </c>
      <c r="C357" s="15" t="s">
        <v>43</v>
      </c>
      <c r="D357" s="16">
        <v>10.504</v>
      </c>
      <c r="E357" s="16">
        <v>339.24873</v>
      </c>
      <c r="F357" s="17">
        <f t="shared" si="20"/>
        <v>0.0309625330063874</v>
      </c>
      <c r="G357" s="16">
        <v>124.20572</v>
      </c>
      <c r="H357" s="16">
        <v>298.93133</v>
      </c>
      <c r="I357" s="24">
        <v>0.415499171665947</v>
      </c>
      <c r="J357" s="25">
        <v>204.84982</v>
      </c>
      <c r="K357" s="24">
        <v>0.685273838643812</v>
      </c>
      <c r="L357" s="16">
        <v>9.0512</v>
      </c>
      <c r="M357" s="24">
        <v>0.0302785258407006</v>
      </c>
      <c r="N357" s="26">
        <v>1486</v>
      </c>
      <c r="O357" s="27" t="s">
        <v>137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33" t="e">
        <f t="shared" si="23"/>
        <v>#DIV/0!</v>
      </c>
      <c r="AH357" s="1">
        <v>1</v>
      </c>
      <c r="AI357" s="1">
        <v>7</v>
      </c>
      <c r="AJ357" s="1">
        <v>0</v>
      </c>
    </row>
    <row r="358" s="2" customFormat="1" spans="1:36">
      <c r="A358" s="2" t="e">
        <f>VLOOKUP(B358,'[1]2. ISIC行业分类'!$A$2:$B$102,2,FALSE)</f>
        <v>#N/A</v>
      </c>
      <c r="B358" s="14" t="s">
        <v>138</v>
      </c>
      <c r="C358" s="15" t="s">
        <v>37</v>
      </c>
      <c r="D358" s="16">
        <v>1638.88218</v>
      </c>
      <c r="E358" s="16">
        <v>92479.06094</v>
      </c>
      <c r="F358" s="17">
        <f t="shared" si="20"/>
        <v>0.0177216568090294</v>
      </c>
      <c r="G358" s="16">
        <v>61977.53079</v>
      </c>
      <c r="H358" s="16">
        <v>134342.03105</v>
      </c>
      <c r="I358" s="24">
        <v>0.461341326356254</v>
      </c>
      <c r="J358" s="25">
        <v>56481.03405</v>
      </c>
      <c r="K358" s="24">
        <v>0.420427126257892</v>
      </c>
      <c r="L358" s="16">
        <v>14552.62946</v>
      </c>
      <c r="M358" s="24">
        <v>0.108325215468744</v>
      </c>
      <c r="N358" s="26">
        <v>339000</v>
      </c>
      <c r="O358" s="27" t="s">
        <v>139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12180</v>
      </c>
      <c r="AG358" s="33">
        <f t="shared" si="23"/>
        <v>0</v>
      </c>
      <c r="AH358" s="1">
        <v>105</v>
      </c>
      <c r="AI358" s="1">
        <v>1936</v>
      </c>
      <c r="AJ358" s="1">
        <v>1414</v>
      </c>
    </row>
    <row r="359" s="2" customFormat="1" spans="1:36">
      <c r="A359" s="2" t="e">
        <f>VLOOKUP(B359,'[1]2. ISIC行业分类'!$A$2:$B$102,2,FALSE)</f>
        <v>#N/A</v>
      </c>
      <c r="B359" s="14" t="s">
        <v>138</v>
      </c>
      <c r="C359" s="15" t="s">
        <v>39</v>
      </c>
      <c r="D359" s="16">
        <v>1675.97207</v>
      </c>
      <c r="E359" s="16">
        <v>88975.33981</v>
      </c>
      <c r="F359" s="17">
        <f t="shared" si="20"/>
        <v>0.0188363660490526</v>
      </c>
      <c r="G359" s="16">
        <v>59933.48047</v>
      </c>
      <c r="H359" s="16">
        <v>123842.15096</v>
      </c>
      <c r="I359" s="24">
        <v>0.483950577452083</v>
      </c>
      <c r="J359" s="25">
        <v>52835.06955</v>
      </c>
      <c r="K359" s="24">
        <v>0.42663236337897</v>
      </c>
      <c r="L359" s="16">
        <v>9055.04339</v>
      </c>
      <c r="M359" s="24">
        <v>0.0731176204531905</v>
      </c>
      <c r="N359" s="26">
        <v>335000</v>
      </c>
      <c r="O359" s="27" t="s">
        <v>139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11972</v>
      </c>
      <c r="AG359" s="33">
        <f t="shared" si="23"/>
        <v>0</v>
      </c>
      <c r="AH359" s="1">
        <v>122</v>
      </c>
      <c r="AI359" s="1">
        <v>2412</v>
      </c>
      <c r="AJ359" s="1">
        <v>1052</v>
      </c>
    </row>
    <row r="360" s="2" customFormat="1" spans="1:36">
      <c r="A360" s="2" t="e">
        <f>VLOOKUP(B360,'[1]2. ISIC行业分类'!$A$2:$B$102,2,FALSE)</f>
        <v>#N/A</v>
      </c>
      <c r="B360" s="14" t="s">
        <v>138</v>
      </c>
      <c r="C360" s="15" t="s">
        <v>40</v>
      </c>
      <c r="D360" s="16">
        <v>1709.03148</v>
      </c>
      <c r="E360" s="16">
        <v>88391.18706</v>
      </c>
      <c r="F360" s="17">
        <f t="shared" si="20"/>
        <v>0.0193348628618361</v>
      </c>
      <c r="G360" s="16">
        <v>64895.94203</v>
      </c>
      <c r="H360" s="16">
        <v>129851.93643</v>
      </c>
      <c r="I360" s="24">
        <v>0.499768765982045</v>
      </c>
      <c r="J360" s="25">
        <v>55061.13528</v>
      </c>
      <c r="K360" s="24">
        <v>0.424030143822169</v>
      </c>
      <c r="L360" s="16">
        <v>8398.47211</v>
      </c>
      <c r="M360" s="24">
        <v>0.0646772958563264</v>
      </c>
      <c r="N360" s="26">
        <v>328000</v>
      </c>
      <c r="O360" s="27" t="s">
        <v>139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11212</v>
      </c>
      <c r="AG360" s="33">
        <f t="shared" si="23"/>
        <v>0</v>
      </c>
      <c r="AH360" s="1">
        <v>139</v>
      </c>
      <c r="AI360" s="1">
        <v>2387</v>
      </c>
      <c r="AJ360" s="1">
        <v>1221</v>
      </c>
    </row>
    <row r="361" s="2" customFormat="1" spans="1:36">
      <c r="A361" s="2" t="e">
        <f>VLOOKUP(B361,'[1]2. ISIC行业分类'!$A$2:$B$102,2,FALSE)</f>
        <v>#N/A</v>
      </c>
      <c r="B361" s="14" t="s">
        <v>138</v>
      </c>
      <c r="C361" s="15" t="s">
        <v>41</v>
      </c>
      <c r="D361" s="16">
        <v>1784.39501</v>
      </c>
      <c r="E361" s="16">
        <v>92269.3318</v>
      </c>
      <c r="F361" s="17">
        <f t="shared" si="20"/>
        <v>0.019338982684602</v>
      </c>
      <c r="G361" s="16">
        <v>72833.89427</v>
      </c>
      <c r="H361" s="16">
        <v>136687.32556</v>
      </c>
      <c r="I361" s="24">
        <v>0.53285038661488</v>
      </c>
      <c r="J361" s="25">
        <v>62267.07437</v>
      </c>
      <c r="K361" s="24">
        <v>0.455543878080103</v>
      </c>
      <c r="L361" s="16">
        <v>7342.80085</v>
      </c>
      <c r="M361" s="24">
        <v>0.0537196906876111</v>
      </c>
      <c r="N361" s="26">
        <v>323000</v>
      </c>
      <c r="O361" s="27" t="s">
        <v>139</v>
      </c>
      <c r="P361" s="1">
        <v>0</v>
      </c>
      <c r="Q361" s="1">
        <v>0</v>
      </c>
      <c r="R361" s="1">
        <v>0</v>
      </c>
      <c r="S361" s="1">
        <v>1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1</v>
      </c>
      <c r="AF361" s="1">
        <v>14899</v>
      </c>
      <c r="AG361" s="33">
        <f t="shared" si="23"/>
        <v>6.7118598563662e-5</v>
      </c>
      <c r="AH361" s="1">
        <v>89</v>
      </c>
      <c r="AI361" s="1">
        <v>1968</v>
      </c>
      <c r="AJ361" s="1">
        <v>643</v>
      </c>
    </row>
    <row r="362" s="2" customFormat="1" spans="1:36">
      <c r="A362" s="2" t="e">
        <f>VLOOKUP(B362,'[1]2. ISIC行业分类'!$A$2:$B$102,2,FALSE)</f>
        <v>#N/A</v>
      </c>
      <c r="B362" s="14" t="s">
        <v>138</v>
      </c>
      <c r="C362" s="15" t="s">
        <v>42</v>
      </c>
      <c r="D362" s="16">
        <v>1714.50059</v>
      </c>
      <c r="E362" s="16">
        <v>93245.66042</v>
      </c>
      <c r="F362" s="17">
        <f t="shared" si="20"/>
        <v>0.0183869209813893</v>
      </c>
      <c r="G362" s="16">
        <v>79893.49163</v>
      </c>
      <c r="H362" s="16">
        <v>139248.54673</v>
      </c>
      <c r="I362" s="24">
        <v>0.573747399927353</v>
      </c>
      <c r="J362" s="25">
        <v>61778.93412</v>
      </c>
      <c r="K362" s="24">
        <v>0.443659453335539</v>
      </c>
      <c r="L362" s="16">
        <v>10300.21546</v>
      </c>
      <c r="M362" s="24">
        <v>0.0739700032918254</v>
      </c>
      <c r="N362" s="26">
        <v>308000</v>
      </c>
      <c r="O362" s="27" t="s">
        <v>139</v>
      </c>
      <c r="P362" s="1">
        <v>0</v>
      </c>
      <c r="Q362" s="1">
        <v>0</v>
      </c>
      <c r="R362" s="1">
        <v>0</v>
      </c>
      <c r="S362" s="1">
        <v>1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1</v>
      </c>
      <c r="AF362" s="1">
        <v>14073</v>
      </c>
      <c r="AG362" s="33">
        <f t="shared" si="23"/>
        <v>7.10580544304697e-5</v>
      </c>
      <c r="AH362" s="1">
        <v>72</v>
      </c>
      <c r="AI362" s="1">
        <v>1795</v>
      </c>
      <c r="AJ362" s="1">
        <v>276</v>
      </c>
    </row>
    <row r="363" s="2" customFormat="1" spans="1:36">
      <c r="A363" s="2" t="e">
        <f>VLOOKUP(B363,'[1]2. ISIC行业分类'!$A$2:$B$102,2,FALSE)</f>
        <v>#N/A</v>
      </c>
      <c r="B363" s="14" t="s">
        <v>138</v>
      </c>
      <c r="C363" s="15" t="s">
        <v>43</v>
      </c>
      <c r="D363" s="16">
        <v>1726.39883</v>
      </c>
      <c r="E363" s="16">
        <v>95886.37986</v>
      </c>
      <c r="F363" s="17">
        <f t="shared" si="20"/>
        <v>0.0180046304023642</v>
      </c>
      <c r="G363" s="16">
        <v>77520.67654</v>
      </c>
      <c r="H363" s="16">
        <v>132102.55144</v>
      </c>
      <c r="I363" s="24">
        <v>0.586821947759346</v>
      </c>
      <c r="J363" s="25">
        <v>61216.94599</v>
      </c>
      <c r="K363" s="24">
        <v>0.463404720973949</v>
      </c>
      <c r="L363" s="16">
        <v>13019.23614</v>
      </c>
      <c r="M363" s="24">
        <v>0.0985540097301848</v>
      </c>
      <c r="N363" s="26">
        <v>291000</v>
      </c>
      <c r="O363" s="27" t="s">
        <v>139</v>
      </c>
      <c r="P363" s="1">
        <v>4</v>
      </c>
      <c r="Q363" s="1">
        <v>2</v>
      </c>
      <c r="R363" s="1">
        <v>0</v>
      </c>
      <c r="S363" s="1">
        <v>1</v>
      </c>
      <c r="T363" s="1">
        <v>0</v>
      </c>
      <c r="U363" s="1">
        <v>0</v>
      </c>
      <c r="V363" s="1">
        <v>0</v>
      </c>
      <c r="W363" s="1">
        <v>1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1</v>
      </c>
      <c r="AD363" s="1">
        <v>0</v>
      </c>
      <c r="AE363" s="1">
        <v>17</v>
      </c>
      <c r="AF363" s="1">
        <v>16458</v>
      </c>
      <c r="AG363" s="33">
        <f t="shared" si="23"/>
        <v>0.00103293231255317</v>
      </c>
      <c r="AH363" s="1">
        <v>34</v>
      </c>
      <c r="AI363" s="1">
        <v>845</v>
      </c>
      <c r="AJ363" s="1">
        <v>65</v>
      </c>
    </row>
    <row r="364" s="2" customFormat="1" spans="1:36">
      <c r="A364" s="2" t="e">
        <f>VLOOKUP(B364,'[1]2. ISIC行业分类'!$A$2:$B$102,2,FALSE)</f>
        <v>#N/A</v>
      </c>
      <c r="B364" s="14" t="s">
        <v>138</v>
      </c>
      <c r="C364" s="15" t="s">
        <v>44</v>
      </c>
      <c r="D364" s="16">
        <v>1781.29415</v>
      </c>
      <c r="E364" s="16">
        <v>95711.78298</v>
      </c>
      <c r="F364" s="17">
        <f t="shared" si="20"/>
        <v>0.0186110225359841</v>
      </c>
      <c r="G364" s="16">
        <v>87611.18959</v>
      </c>
      <c r="H364" s="16">
        <v>140184.23282</v>
      </c>
      <c r="I364" s="24">
        <v>0.624971780546068</v>
      </c>
      <c r="J364" s="25">
        <v>59671.09352</v>
      </c>
      <c r="K364" s="24">
        <v>0.425661947279186</v>
      </c>
      <c r="L364" s="16">
        <v>13825.3744</v>
      </c>
      <c r="M364" s="24">
        <v>0.0986228916182901</v>
      </c>
      <c r="N364" s="26">
        <v>273000</v>
      </c>
      <c r="O364" s="27" t="s">
        <v>139</v>
      </c>
      <c r="P364" s="1">
        <v>2</v>
      </c>
      <c r="Q364" s="1">
        <v>0</v>
      </c>
      <c r="R364" s="1">
        <v>0</v>
      </c>
      <c r="S364" s="1">
        <v>2</v>
      </c>
      <c r="T364" s="1">
        <v>0</v>
      </c>
      <c r="U364" s="1">
        <v>1</v>
      </c>
      <c r="V364" s="1">
        <v>1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1</v>
      </c>
      <c r="AD364" s="1">
        <v>0</v>
      </c>
      <c r="AE364" s="1">
        <v>14</v>
      </c>
      <c r="AF364" s="1">
        <v>16786</v>
      </c>
      <c r="AG364" s="33">
        <f t="shared" si="23"/>
        <v>0.000834028356964137</v>
      </c>
      <c r="AH364" s="1">
        <v>19</v>
      </c>
      <c r="AI364" s="1">
        <v>270</v>
      </c>
      <c r="AJ364" s="1">
        <v>16</v>
      </c>
    </row>
    <row r="365" s="2" customFormat="1" spans="1:36">
      <c r="A365" s="2" t="e">
        <f>VLOOKUP(B365,'[1]2. ISIC行业分类'!$A$2:$B$102,2,FALSE)</f>
        <v>#N/A</v>
      </c>
      <c r="B365" s="14" t="s">
        <v>138</v>
      </c>
      <c r="C365" s="15" t="s">
        <v>45</v>
      </c>
      <c r="D365" s="16">
        <v>1831.92374</v>
      </c>
      <c r="E365" s="16">
        <v>95951.11945</v>
      </c>
      <c r="F365" s="17">
        <f t="shared" si="20"/>
        <v>0.0190922602102064</v>
      </c>
      <c r="G365" s="16">
        <v>93696.86599</v>
      </c>
      <c r="H365" s="16">
        <v>152633.25326</v>
      </c>
      <c r="I365" s="24">
        <v>0.6138692846335</v>
      </c>
      <c r="J365" s="25">
        <v>62227.26824</v>
      </c>
      <c r="K365" s="24">
        <v>0.407691423139624</v>
      </c>
      <c r="L365" s="16">
        <v>18544.11426</v>
      </c>
      <c r="M365" s="24">
        <v>0.121494588262568</v>
      </c>
      <c r="N365" s="26">
        <v>276000</v>
      </c>
      <c r="O365" s="27" t="s">
        <v>139</v>
      </c>
      <c r="P365" s="1">
        <v>2</v>
      </c>
      <c r="Q365" s="1">
        <v>0</v>
      </c>
      <c r="R365" s="1">
        <v>0</v>
      </c>
      <c r="S365" s="1">
        <v>5</v>
      </c>
      <c r="T365" s="1">
        <v>0</v>
      </c>
      <c r="U365" s="1">
        <v>1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1</v>
      </c>
      <c r="AD365" s="1">
        <v>0</v>
      </c>
      <c r="AE365" s="1">
        <v>15</v>
      </c>
      <c r="AF365" s="1">
        <v>16946</v>
      </c>
      <c r="AG365" s="33">
        <f t="shared" si="23"/>
        <v>0.000885164640623156</v>
      </c>
      <c r="AH365" s="1">
        <v>24</v>
      </c>
      <c r="AI365" s="1">
        <v>363</v>
      </c>
      <c r="AJ365" s="1">
        <v>30</v>
      </c>
    </row>
    <row r="366" s="2" customFormat="1" spans="1:36">
      <c r="A366" s="2" t="str">
        <f>VLOOKUP(B366,'[1]2. ISIC行业分类'!$A$2:$B$102,2,FALSE)</f>
        <v>C2750</v>
      </c>
      <c r="B366" s="14" t="s">
        <v>140</v>
      </c>
      <c r="C366" s="15" t="s">
        <v>37</v>
      </c>
      <c r="D366" s="16">
        <v>40.5395552314984</v>
      </c>
      <c r="E366" s="16">
        <v>1410.08699</v>
      </c>
      <c r="F366" s="17">
        <f t="shared" si="20"/>
        <v>0.0287496838982242</v>
      </c>
      <c r="G366" s="16">
        <v>1476.16285</v>
      </c>
      <c r="H366" s="16">
        <v>2314.57222</v>
      </c>
      <c r="I366" s="24">
        <v>0.637769190023373</v>
      </c>
      <c r="J366" s="25">
        <v>565.2873</v>
      </c>
      <c r="K366" s="24">
        <v>0.244229709107975</v>
      </c>
      <c r="L366" s="16">
        <v>125.50579</v>
      </c>
      <c r="M366" s="24">
        <v>0.0542241840265412</v>
      </c>
      <c r="N366" s="26">
        <v>10000</v>
      </c>
      <c r="O366" s="27" t="s">
        <v>141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37743</v>
      </c>
      <c r="AG366" s="33">
        <f t="shared" si="23"/>
        <v>0</v>
      </c>
      <c r="AH366" s="1">
        <v>1</v>
      </c>
      <c r="AI366" s="1">
        <v>3</v>
      </c>
      <c r="AJ366" s="1">
        <v>15</v>
      </c>
    </row>
    <row r="367" s="2" customFormat="1" spans="1:36">
      <c r="A367" s="2" t="str">
        <f>VLOOKUP(B367,'[1]2. ISIC行业分类'!$A$2:$B$102,2,FALSE)</f>
        <v>C2750</v>
      </c>
      <c r="B367" s="14" t="s">
        <v>140</v>
      </c>
      <c r="C367" s="15" t="s">
        <v>39</v>
      </c>
      <c r="D367" s="16">
        <v>41.4962356986188</v>
      </c>
      <c r="E367" s="16">
        <v>1568.77843</v>
      </c>
      <c r="F367" s="17">
        <f t="shared" si="20"/>
        <v>0.0264513043429713</v>
      </c>
      <c r="G367" s="16">
        <v>1323.91963</v>
      </c>
      <c r="H367" s="16">
        <v>2203.84761</v>
      </c>
      <c r="I367" s="24">
        <v>0.600731023321526</v>
      </c>
      <c r="J367" s="25">
        <v>550.13268</v>
      </c>
      <c r="K367" s="24">
        <v>0.249623738730284</v>
      </c>
      <c r="L367" s="16">
        <v>146.5362</v>
      </c>
      <c r="M367" s="24">
        <v>0.0664910764860008</v>
      </c>
      <c r="N367" s="26">
        <v>10500</v>
      </c>
      <c r="O367" s="27" t="s">
        <v>141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37231</v>
      </c>
      <c r="AG367" s="33">
        <f t="shared" si="23"/>
        <v>0</v>
      </c>
      <c r="AH367" s="1">
        <v>1</v>
      </c>
      <c r="AI367" s="1">
        <v>2</v>
      </c>
      <c r="AJ367" s="1">
        <v>0</v>
      </c>
    </row>
    <row r="368" s="2" customFormat="1" spans="1:36">
      <c r="A368" s="2" t="str">
        <f>VLOOKUP(B368,'[1]2. ISIC行业分类'!$A$2:$B$102,2,FALSE)</f>
        <v>C2750</v>
      </c>
      <c r="B368" s="14" t="s">
        <v>140</v>
      </c>
      <c r="C368" s="15" t="s">
        <v>40</v>
      </c>
      <c r="D368" s="16">
        <v>47.7747926644084</v>
      </c>
      <c r="E368" s="16">
        <v>1690.83908</v>
      </c>
      <c r="F368" s="17">
        <f t="shared" si="20"/>
        <v>0.0282550795220609</v>
      </c>
      <c r="G368" s="16">
        <v>1530.76681</v>
      </c>
      <c r="H368" s="16">
        <v>2866.97916</v>
      </c>
      <c r="I368" s="24">
        <v>0.533930218732389</v>
      </c>
      <c r="J368" s="25">
        <v>616.49306</v>
      </c>
      <c r="K368" s="24">
        <v>0.21503227808604</v>
      </c>
      <c r="L368" s="16">
        <v>151.58943</v>
      </c>
      <c r="M368" s="24">
        <v>0.0528742699336538</v>
      </c>
      <c r="N368" s="26">
        <v>11900</v>
      </c>
      <c r="O368" s="27" t="s">
        <v>141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44739</v>
      </c>
      <c r="AG368" s="33">
        <f t="shared" si="23"/>
        <v>0</v>
      </c>
      <c r="AH368" s="1">
        <v>1</v>
      </c>
      <c r="AI368" s="1">
        <v>12</v>
      </c>
      <c r="AJ368" s="1">
        <v>9</v>
      </c>
    </row>
    <row r="369" s="2" customFormat="1" spans="1:36">
      <c r="A369" s="2" t="str">
        <f>VLOOKUP(B369,'[1]2. ISIC行业分类'!$A$2:$B$102,2,FALSE)</f>
        <v>C2750</v>
      </c>
      <c r="B369" s="18" t="s">
        <v>140</v>
      </c>
      <c r="C369" s="19">
        <v>2017</v>
      </c>
      <c r="D369" s="20">
        <v>0</v>
      </c>
      <c r="E369" s="20">
        <v>2322.24599</v>
      </c>
      <c r="F369" s="17">
        <f t="shared" si="20"/>
        <v>0</v>
      </c>
      <c r="G369" s="20">
        <v>1854.84038</v>
      </c>
      <c r="H369" s="20">
        <v>3419.41528</v>
      </c>
      <c r="I369" s="28">
        <v>0.542443730321051</v>
      </c>
      <c r="J369" s="29">
        <v>748.3865</v>
      </c>
      <c r="K369" s="28">
        <v>0.21886388131248</v>
      </c>
      <c r="L369" s="20">
        <v>208.04803</v>
      </c>
      <c r="M369" s="28">
        <v>0.0608431597112124</v>
      </c>
      <c r="N369" s="30">
        <v>14500</v>
      </c>
      <c r="O369" s="31" t="s">
        <v>141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45283</v>
      </c>
      <c r="AG369" s="33">
        <f t="shared" si="23"/>
        <v>0</v>
      </c>
      <c r="AH369" s="2">
        <v>0</v>
      </c>
      <c r="AI369" s="2">
        <v>0</v>
      </c>
      <c r="AJ369" s="2">
        <v>0</v>
      </c>
    </row>
    <row r="370" s="2" customFormat="1" spans="1:36">
      <c r="A370" s="2" t="str">
        <f>VLOOKUP(B370,'[1]2. ISIC行业分类'!$A$2:$B$102,2,FALSE)</f>
        <v>C2750</v>
      </c>
      <c r="B370" s="18" t="s">
        <v>140</v>
      </c>
      <c r="C370" s="19">
        <v>2018</v>
      </c>
      <c r="D370" s="20">
        <v>0</v>
      </c>
      <c r="E370" s="20">
        <v>2533.6283</v>
      </c>
      <c r="F370" s="17">
        <f t="shared" si="20"/>
        <v>0</v>
      </c>
      <c r="G370" s="20">
        <v>1898.30829</v>
      </c>
      <c r="H370" s="20">
        <v>3633.56686</v>
      </c>
      <c r="I370" s="28">
        <v>0.522436592786406</v>
      </c>
      <c r="J370" s="29">
        <v>773.16398</v>
      </c>
      <c r="K370" s="28">
        <v>0.212783749354209</v>
      </c>
      <c r="L370" s="20">
        <v>233.37827</v>
      </c>
      <c r="M370" s="28">
        <v>0.0642284231973648</v>
      </c>
      <c r="N370" s="30">
        <v>13709</v>
      </c>
      <c r="O370" s="31" t="s">
        <v>141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50567</v>
      </c>
      <c r="AG370" s="33">
        <f t="shared" si="23"/>
        <v>0</v>
      </c>
      <c r="AH370" s="2">
        <v>0</v>
      </c>
      <c r="AI370" s="2">
        <v>0</v>
      </c>
      <c r="AJ370" s="2">
        <v>0</v>
      </c>
    </row>
    <row r="371" s="2" customFormat="1" spans="1:36">
      <c r="A371" s="2" t="str">
        <f>VLOOKUP(B371,'[1]2. ISIC行业分类'!$A$2:$B$102,2,FALSE)</f>
        <v>C2750</v>
      </c>
      <c r="B371" s="18" t="s">
        <v>140</v>
      </c>
      <c r="C371" s="19">
        <v>2019</v>
      </c>
      <c r="D371" s="20">
        <v>0</v>
      </c>
      <c r="E371" s="20">
        <v>2712.7331</v>
      </c>
      <c r="F371" s="17">
        <f t="shared" si="20"/>
        <v>0</v>
      </c>
      <c r="G371" s="20">
        <v>2100.75712</v>
      </c>
      <c r="H371" s="20">
        <v>3985.17641</v>
      </c>
      <c r="I371" s="28">
        <v>0.527142817248585</v>
      </c>
      <c r="J371" s="29">
        <v>943.49418</v>
      </c>
      <c r="K371" s="28">
        <v>0.236750919641221</v>
      </c>
      <c r="L371" s="20">
        <v>232.28754</v>
      </c>
      <c r="M371" s="28">
        <v>0.0582878939605085</v>
      </c>
      <c r="N371" s="30">
        <v>15331</v>
      </c>
      <c r="O371" s="31" t="s">
        <v>141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54765</v>
      </c>
      <c r="AG371" s="33">
        <f t="shared" si="23"/>
        <v>0</v>
      </c>
      <c r="AH371" s="2">
        <v>0</v>
      </c>
      <c r="AI371" s="2">
        <v>0</v>
      </c>
      <c r="AJ371" s="2">
        <v>0</v>
      </c>
    </row>
    <row r="372" s="2" customFormat="1" spans="1:36">
      <c r="A372" s="2" t="str">
        <f>VLOOKUP(B372,'[1]2. ISIC行业分类'!$A$2:$B$102,2,FALSE)</f>
        <v>C2750</v>
      </c>
      <c r="B372" s="18" t="s">
        <v>140</v>
      </c>
      <c r="C372" s="19">
        <v>2020</v>
      </c>
      <c r="D372" s="20">
        <v>0</v>
      </c>
      <c r="E372" s="20">
        <v>3305.36045</v>
      </c>
      <c r="F372" s="17">
        <f t="shared" si="20"/>
        <v>0</v>
      </c>
      <c r="G372" s="20">
        <v>2508.30418</v>
      </c>
      <c r="H372" s="20">
        <v>4668.00279</v>
      </c>
      <c r="I372" s="28">
        <v>0.537339905917237</v>
      </c>
      <c r="J372" s="29">
        <v>1149.19296</v>
      </c>
      <c r="K372" s="28">
        <v>0.246185148488311</v>
      </c>
      <c r="L372" s="20">
        <v>348.97086</v>
      </c>
      <c r="M372" s="28">
        <v>0.0747580658579684</v>
      </c>
      <c r="N372" s="30">
        <v>17607</v>
      </c>
      <c r="O372" s="31" t="s">
        <v>141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2</v>
      </c>
      <c r="AF372" s="1">
        <v>60682</v>
      </c>
      <c r="AG372" s="33">
        <f t="shared" si="23"/>
        <v>3.29587027454599e-5</v>
      </c>
      <c r="AH372" s="2">
        <v>0</v>
      </c>
      <c r="AI372" s="2">
        <v>0</v>
      </c>
      <c r="AJ372" s="2">
        <v>0</v>
      </c>
    </row>
    <row r="373" s="2" customFormat="1" spans="1:36">
      <c r="A373" s="2" t="str">
        <f>VLOOKUP(B373,'[1]2. ISIC行业分类'!$A$2:$B$102,2,FALSE)</f>
        <v>C2750</v>
      </c>
      <c r="B373" s="18" t="s">
        <v>140</v>
      </c>
      <c r="C373" s="19">
        <v>2021</v>
      </c>
      <c r="D373" s="20">
        <v>0</v>
      </c>
      <c r="E373" s="20">
        <v>3409.81605</v>
      </c>
      <c r="F373" s="17">
        <f t="shared" si="20"/>
        <v>0</v>
      </c>
      <c r="G373" s="20">
        <v>2403.96898</v>
      </c>
      <c r="H373" s="20">
        <v>4799.09048</v>
      </c>
      <c r="I373" s="28">
        <v>0.500921787163304</v>
      </c>
      <c r="J373" s="29">
        <v>1193.96647</v>
      </c>
      <c r="K373" s="28">
        <v>0.248790156171425</v>
      </c>
      <c r="L373" s="20">
        <v>367.17013</v>
      </c>
      <c r="M373" s="28">
        <v>0.0765082741261423</v>
      </c>
      <c r="N373" s="30">
        <v>20171</v>
      </c>
      <c r="O373" s="31" t="s">
        <v>141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2</v>
      </c>
      <c r="AF373" s="1">
        <v>64261</v>
      </c>
      <c r="AG373" s="33">
        <f t="shared" si="23"/>
        <v>3.11230762048521e-5</v>
      </c>
      <c r="AH373" s="2">
        <v>0</v>
      </c>
      <c r="AI373" s="2">
        <v>0</v>
      </c>
      <c r="AJ373" s="2">
        <v>0</v>
      </c>
    </row>
    <row r="374" s="2" customFormat="1" spans="1:36">
      <c r="A374" s="2" t="str">
        <f>VLOOKUP(B374,'[1]2. ISIC行业分类'!$A$2:$B$102,2,FALSE)</f>
        <v>C2750</v>
      </c>
      <c r="B374" s="14" t="s">
        <v>140</v>
      </c>
      <c r="C374" s="15" t="s">
        <v>48</v>
      </c>
      <c r="D374" s="16">
        <v>108.794466403162</v>
      </c>
      <c r="E374" s="16">
        <v>3844.09498</v>
      </c>
      <c r="F374" s="17">
        <f t="shared" si="20"/>
        <v>0.0283017113180596</v>
      </c>
      <c r="G374" s="16">
        <v>2496.24904</v>
      </c>
      <c r="H374" s="16">
        <v>5179.75754</v>
      </c>
      <c r="I374" s="24">
        <v>0.481923916461928</v>
      </c>
      <c r="J374" s="25">
        <v>1245.87012</v>
      </c>
      <c r="K374" s="24">
        <v>0.240526725503835</v>
      </c>
      <c r="L374" s="16">
        <v>417.40055</v>
      </c>
      <c r="M374" s="24">
        <v>0.0805830286025319</v>
      </c>
      <c r="N374" s="26">
        <v>20795</v>
      </c>
      <c r="O374" s="27" t="s">
        <v>141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2</v>
      </c>
      <c r="AF374" s="1">
        <v>66057</v>
      </c>
      <c r="AG374" s="33">
        <f t="shared" si="23"/>
        <v>3.02768820866827e-5</v>
      </c>
      <c r="AH374" s="1">
        <v>1</v>
      </c>
      <c r="AI374" s="1">
        <v>3</v>
      </c>
      <c r="AJ374" s="1">
        <v>0</v>
      </c>
    </row>
    <row r="375" s="2" customFormat="1" spans="1:36">
      <c r="A375" s="2" t="str">
        <f>VLOOKUP(B375,'[1]2. ISIC行业分类'!$A$2:$B$102,2,FALSE)</f>
        <v>C2100</v>
      </c>
      <c r="B375" s="14" t="s">
        <v>142</v>
      </c>
      <c r="C375" s="15" t="s">
        <v>37</v>
      </c>
      <c r="D375" s="16">
        <v>9086</v>
      </c>
      <c r="E375" s="16">
        <v>53634</v>
      </c>
      <c r="F375" s="17">
        <f t="shared" si="20"/>
        <v>0.16940746541373</v>
      </c>
      <c r="G375" s="16">
        <v>54543</v>
      </c>
      <c r="H375" s="16">
        <v>125387</v>
      </c>
      <c r="I375" s="24">
        <v>0.434997248518586</v>
      </c>
      <c r="J375" s="25">
        <v>31428</v>
      </c>
      <c r="K375" s="24">
        <v>0.250647993811161</v>
      </c>
      <c r="L375" s="16">
        <v>10210</v>
      </c>
      <c r="M375" s="24">
        <v>0.0814278992240025</v>
      </c>
      <c r="N375" s="26">
        <v>133413</v>
      </c>
      <c r="O375" s="27" t="s">
        <v>143</v>
      </c>
      <c r="P375" s="1">
        <v>0</v>
      </c>
      <c r="Q375" s="1">
        <v>0</v>
      </c>
      <c r="R375" s="1">
        <v>0</v>
      </c>
      <c r="S375" s="1">
        <v>4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4</v>
      </c>
      <c r="AF375" s="1">
        <v>95679</v>
      </c>
      <c r="AG375" s="33">
        <f t="shared" si="23"/>
        <v>4.18064570072848e-5</v>
      </c>
      <c r="AH375" s="1">
        <v>157</v>
      </c>
      <c r="AI375" s="1">
        <v>9547</v>
      </c>
      <c r="AJ375" s="1">
        <v>3925</v>
      </c>
    </row>
    <row r="376" s="2" customFormat="1" spans="1:36">
      <c r="A376" s="2" t="str">
        <f>VLOOKUP(B376,'[1]2. ISIC行业分类'!$A$2:$B$102,2,FALSE)</f>
        <v>C2100</v>
      </c>
      <c r="B376" s="14" t="s">
        <v>142</v>
      </c>
      <c r="C376" s="15" t="s">
        <v>39</v>
      </c>
      <c r="D376" s="16">
        <v>8935</v>
      </c>
      <c r="E376" s="16">
        <v>50387</v>
      </c>
      <c r="F376" s="17">
        <f t="shared" si="20"/>
        <v>0.177327485264056</v>
      </c>
      <c r="G376" s="16">
        <v>54434</v>
      </c>
      <c r="H376" s="16">
        <v>131556</v>
      </c>
      <c r="I376" s="24">
        <v>0.413770561585941</v>
      </c>
      <c r="J376" s="25">
        <v>31448</v>
      </c>
      <c r="K376" s="24">
        <v>0.239046489707805</v>
      </c>
      <c r="L376" s="16">
        <v>17783</v>
      </c>
      <c r="M376" s="24">
        <v>0.135174374410897</v>
      </c>
      <c r="N376" s="26">
        <v>118700</v>
      </c>
      <c r="O376" s="27" t="s">
        <v>143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2</v>
      </c>
      <c r="W376" s="1">
        <v>1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6</v>
      </c>
      <c r="AF376" s="1">
        <v>98977</v>
      </c>
      <c r="AG376" s="33">
        <f t="shared" si="23"/>
        <v>6.06201440738757e-5</v>
      </c>
      <c r="AH376" s="1">
        <v>133</v>
      </c>
      <c r="AI376" s="1">
        <v>5779</v>
      </c>
      <c r="AJ376" s="1">
        <v>2451</v>
      </c>
    </row>
    <row r="377" s="2" customFormat="1" spans="1:36">
      <c r="A377" s="2" t="str">
        <f>VLOOKUP(B377,'[1]2. ISIC行业分类'!$A$2:$B$102,2,FALSE)</f>
        <v>C2100</v>
      </c>
      <c r="B377" s="14" t="s">
        <v>142</v>
      </c>
      <c r="C377" s="15" t="s">
        <v>40</v>
      </c>
      <c r="D377" s="16">
        <v>8445</v>
      </c>
      <c r="E377" s="16">
        <v>49386</v>
      </c>
      <c r="F377" s="17">
        <f t="shared" si="20"/>
        <v>0.170999878508079</v>
      </c>
      <c r="G377" s="16">
        <v>55233</v>
      </c>
      <c r="H377" s="16">
        <v>130124</v>
      </c>
      <c r="I377" s="24">
        <v>0.42446435707479</v>
      </c>
      <c r="J377" s="25">
        <v>31296</v>
      </c>
      <c r="K377" s="24">
        <v>0.240509052903384</v>
      </c>
      <c r="L377" s="16">
        <v>6712</v>
      </c>
      <c r="M377" s="24">
        <v>0.0515815683501891</v>
      </c>
      <c r="N377" s="26">
        <v>118393</v>
      </c>
      <c r="O377" s="27" t="s">
        <v>143</v>
      </c>
      <c r="P377" s="1">
        <v>0</v>
      </c>
      <c r="Q377" s="1">
        <v>1</v>
      </c>
      <c r="R377" s="1">
        <v>0</v>
      </c>
      <c r="S377" s="1">
        <v>0</v>
      </c>
      <c r="T377" s="1">
        <v>0</v>
      </c>
      <c r="U377" s="1">
        <v>0</v>
      </c>
      <c r="V377" s="1">
        <v>4</v>
      </c>
      <c r="W377" s="1">
        <v>1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12</v>
      </c>
      <c r="AF377" s="1">
        <v>108552</v>
      </c>
      <c r="AG377" s="33">
        <f t="shared" si="23"/>
        <v>0.00011054609772275</v>
      </c>
      <c r="AH377" s="1">
        <v>120</v>
      </c>
      <c r="AI377" s="1">
        <v>6028</v>
      </c>
      <c r="AJ377" s="1">
        <v>1611</v>
      </c>
    </row>
    <row r="378" s="2" customFormat="1" spans="1:36">
      <c r="A378" s="2" t="str">
        <f>VLOOKUP(B378,'[1]2. ISIC行业分类'!$A$2:$B$102,2,FALSE)</f>
        <v>C2100</v>
      </c>
      <c r="B378" s="14" t="s">
        <v>142</v>
      </c>
      <c r="C378" s="15" t="s">
        <v>41</v>
      </c>
      <c r="D378" s="16">
        <v>7995</v>
      </c>
      <c r="E378" s="16">
        <v>43404</v>
      </c>
      <c r="F378" s="17">
        <f t="shared" si="20"/>
        <v>0.1841996129389</v>
      </c>
      <c r="G378" s="16">
        <v>58852</v>
      </c>
      <c r="H378" s="16">
        <v>133079</v>
      </c>
      <c r="I378" s="24">
        <v>0.442233560516686</v>
      </c>
      <c r="J378" s="25">
        <v>34010</v>
      </c>
      <c r="K378" s="24">
        <v>0.255562485440979</v>
      </c>
      <c r="L378" s="16">
        <v>7703</v>
      </c>
      <c r="M378" s="24">
        <v>0.05788291165398</v>
      </c>
      <c r="N378" s="26">
        <v>121597</v>
      </c>
      <c r="O378" s="27" t="s">
        <v>143</v>
      </c>
      <c r="P378" s="1">
        <v>3</v>
      </c>
      <c r="Q378" s="1">
        <v>5</v>
      </c>
      <c r="R378" s="1">
        <v>0</v>
      </c>
      <c r="S378" s="1">
        <v>0</v>
      </c>
      <c r="T378" s="1">
        <v>0</v>
      </c>
      <c r="U378" s="1">
        <v>0</v>
      </c>
      <c r="V378" s="1">
        <v>1</v>
      </c>
      <c r="W378" s="1">
        <v>1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1</v>
      </c>
      <c r="AD378" s="1">
        <v>0</v>
      </c>
      <c r="AE378" s="1">
        <v>22</v>
      </c>
      <c r="AF378" s="1">
        <v>106498</v>
      </c>
      <c r="AG378" s="33">
        <f t="shared" si="23"/>
        <v>0.000206576649326748</v>
      </c>
      <c r="AH378" s="1">
        <v>97</v>
      </c>
      <c r="AI378" s="1">
        <v>3066</v>
      </c>
      <c r="AJ378" s="1">
        <v>1218</v>
      </c>
    </row>
    <row r="379" s="2" customFormat="1" spans="1:36">
      <c r="A379" s="2" t="str">
        <f>VLOOKUP(B379,'[1]2. ISIC行业分类'!$A$2:$B$102,2,FALSE)</f>
        <v>C2100</v>
      </c>
      <c r="B379" s="14" t="s">
        <v>142</v>
      </c>
      <c r="C379" s="15" t="s">
        <v>42</v>
      </c>
      <c r="D379" s="16">
        <v>8489</v>
      </c>
      <c r="E379" s="16">
        <v>46099</v>
      </c>
      <c r="F379" s="17">
        <f t="shared" si="20"/>
        <v>0.184147161543634</v>
      </c>
      <c r="G379" s="16">
        <v>66871</v>
      </c>
      <c r="H379" s="16">
        <v>145563</v>
      </c>
      <c r="I379" s="24">
        <v>0.459395588164575</v>
      </c>
      <c r="J379" s="25">
        <v>34028</v>
      </c>
      <c r="K379" s="24">
        <v>0.233768196588419</v>
      </c>
      <c r="L379" s="16">
        <v>12611</v>
      </c>
      <c r="M379" s="24">
        <v>0.0866360270123589</v>
      </c>
      <c r="N379" s="26">
        <v>125161</v>
      </c>
      <c r="O379" s="27" t="s">
        <v>143</v>
      </c>
      <c r="P379" s="1">
        <v>2</v>
      </c>
      <c r="Q379" s="1">
        <v>0</v>
      </c>
      <c r="R379" s="1">
        <v>0</v>
      </c>
      <c r="S379" s="1">
        <v>0</v>
      </c>
      <c r="T379" s="1">
        <v>1</v>
      </c>
      <c r="U379" s="1">
        <v>0</v>
      </c>
      <c r="V379" s="1">
        <v>3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12</v>
      </c>
      <c r="AF379" s="1">
        <v>143174</v>
      </c>
      <c r="AG379" s="33">
        <f t="shared" si="23"/>
        <v>8.38141003254781e-5</v>
      </c>
      <c r="AH379" s="1">
        <v>99</v>
      </c>
      <c r="AI379" s="1">
        <v>6772</v>
      </c>
      <c r="AJ379" s="1">
        <v>954</v>
      </c>
    </row>
    <row r="380" s="2" customFormat="1" spans="1:36">
      <c r="A380" s="2" t="str">
        <f>VLOOKUP(B380,'[1]2. ISIC行业分类'!$A$2:$B$102,2,FALSE)</f>
        <v>C2100</v>
      </c>
      <c r="B380" s="14" t="s">
        <v>142</v>
      </c>
      <c r="C380" s="15" t="s">
        <v>43</v>
      </c>
      <c r="D380" s="16">
        <v>9402</v>
      </c>
      <c r="E380" s="16">
        <v>48677</v>
      </c>
      <c r="F380" s="17">
        <f t="shared" si="20"/>
        <v>0.193150769357191</v>
      </c>
      <c r="G380" s="16">
        <v>62819</v>
      </c>
      <c r="H380" s="16">
        <v>118370</v>
      </c>
      <c r="I380" s="24">
        <v>0.530700346371547</v>
      </c>
      <c r="J380" s="25">
        <v>28676</v>
      </c>
      <c r="K380" s="24">
        <v>0.242257328715046</v>
      </c>
      <c r="L380" s="16">
        <v>11732</v>
      </c>
      <c r="M380" s="24">
        <v>0.0991129509166174</v>
      </c>
      <c r="N380" s="26">
        <v>103914</v>
      </c>
      <c r="O380" s="27" t="s">
        <v>143</v>
      </c>
      <c r="P380" s="1">
        <v>7</v>
      </c>
      <c r="Q380" s="1">
        <v>0</v>
      </c>
      <c r="R380" s="1">
        <v>0</v>
      </c>
      <c r="S380" s="1">
        <v>6</v>
      </c>
      <c r="T380" s="1">
        <v>9</v>
      </c>
      <c r="U380" s="1">
        <v>0</v>
      </c>
      <c r="V380" s="1">
        <v>2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42</v>
      </c>
      <c r="AF380" s="1">
        <v>144294</v>
      </c>
      <c r="AG380" s="33">
        <f t="shared" si="23"/>
        <v>0.000291072393862531</v>
      </c>
      <c r="AH380" s="1">
        <v>21</v>
      </c>
      <c r="AI380" s="1">
        <v>1299</v>
      </c>
      <c r="AJ380" s="1">
        <v>124</v>
      </c>
    </row>
    <row r="381" s="2" customFormat="1" spans="1:36">
      <c r="A381" s="2" t="str">
        <f>VLOOKUP(B381,'[1]2. ISIC行业分类'!$A$2:$B$102,2,FALSE)</f>
        <v>C2100</v>
      </c>
      <c r="B381" s="14" t="s">
        <v>142</v>
      </c>
      <c r="C381" s="15" t="s">
        <v>44</v>
      </c>
      <c r="D381" s="16">
        <v>8980</v>
      </c>
      <c r="E381" s="16">
        <v>49898</v>
      </c>
      <c r="F381" s="17">
        <f t="shared" si="20"/>
        <v>0.17996713295122</v>
      </c>
      <c r="G381" s="16">
        <v>71112</v>
      </c>
      <c r="H381" s="16">
        <v>127778</v>
      </c>
      <c r="I381" s="24">
        <v>0.556527727777865</v>
      </c>
      <c r="J381" s="25">
        <v>29894</v>
      </c>
      <c r="K381" s="24">
        <v>0.23395263660411</v>
      </c>
      <c r="L381" s="16">
        <v>8072</v>
      </c>
      <c r="M381" s="24">
        <v>0.0631720640485843</v>
      </c>
      <c r="N381" s="26">
        <v>105794</v>
      </c>
      <c r="O381" s="27" t="s">
        <v>143</v>
      </c>
      <c r="P381" s="1">
        <v>0</v>
      </c>
      <c r="Q381" s="1">
        <v>2</v>
      </c>
      <c r="R381" s="1">
        <v>0</v>
      </c>
      <c r="S381" s="1">
        <v>1</v>
      </c>
      <c r="T381" s="1">
        <v>8</v>
      </c>
      <c r="U381" s="1">
        <v>0</v>
      </c>
      <c r="V381" s="1">
        <v>1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23</v>
      </c>
      <c r="AF381" s="1">
        <v>121442</v>
      </c>
      <c r="AG381" s="33">
        <f t="shared" si="23"/>
        <v>0.000189390820309283</v>
      </c>
      <c r="AH381" s="1">
        <v>8</v>
      </c>
      <c r="AI381" s="1">
        <v>467</v>
      </c>
      <c r="AJ381" s="1">
        <v>79</v>
      </c>
    </row>
    <row r="382" s="2" customFormat="1" spans="1:36">
      <c r="A382" s="2" t="str">
        <f>VLOOKUP(B382,'[1]2. ISIC行业分类'!$A$2:$B$102,2,FALSE)</f>
        <v>C2100</v>
      </c>
      <c r="B382" s="14" t="s">
        <v>142</v>
      </c>
      <c r="C382" s="15" t="s">
        <v>45</v>
      </c>
      <c r="D382" s="16">
        <v>8259</v>
      </c>
      <c r="E382" s="16">
        <v>43974</v>
      </c>
      <c r="F382" s="17">
        <f t="shared" si="20"/>
        <v>0.187815527357075</v>
      </c>
      <c r="G382" s="16">
        <v>63973</v>
      </c>
      <c r="H382" s="16">
        <v>131795</v>
      </c>
      <c r="I382" s="24">
        <v>0.485397776850412</v>
      </c>
      <c r="J382" s="25">
        <v>28708</v>
      </c>
      <c r="K382" s="24">
        <v>0.217823134413293</v>
      </c>
      <c r="L382" s="16">
        <v>24021</v>
      </c>
      <c r="M382" s="24">
        <v>0.182260328540536</v>
      </c>
      <c r="N382" s="26">
        <v>104323</v>
      </c>
      <c r="O382" s="27" t="s">
        <v>143</v>
      </c>
      <c r="P382" s="1">
        <v>3</v>
      </c>
      <c r="Q382" s="1">
        <v>1</v>
      </c>
      <c r="R382" s="1">
        <v>0</v>
      </c>
      <c r="S382" s="1">
        <v>2</v>
      </c>
      <c r="T382" s="1">
        <v>9</v>
      </c>
      <c r="U382" s="1">
        <v>0</v>
      </c>
      <c r="V382" s="1">
        <v>3</v>
      </c>
      <c r="W382" s="1">
        <v>1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36</v>
      </c>
      <c r="AF382" s="1">
        <v>116489</v>
      </c>
      <c r="AG382" s="33">
        <f t="shared" si="23"/>
        <v>0.000309042055473049</v>
      </c>
      <c r="AH382" s="1">
        <v>4</v>
      </c>
      <c r="AI382" s="1">
        <v>33</v>
      </c>
      <c r="AJ382" s="1">
        <v>5</v>
      </c>
    </row>
    <row r="383" s="2" customFormat="1" spans="1:36">
      <c r="A383" s="2" t="str">
        <f>VLOOKUP(B383,'[1]2. ISIC行业分类'!$A$2:$B$102,2,FALSE)</f>
        <v>C2829</v>
      </c>
      <c r="B383" s="14" t="s">
        <v>144</v>
      </c>
      <c r="C383" s="15" t="s">
        <v>37</v>
      </c>
      <c r="D383" s="16">
        <v>103.68849</v>
      </c>
      <c r="E383" s="16">
        <v>2843.88339</v>
      </c>
      <c r="F383" s="17">
        <f t="shared" si="20"/>
        <v>0.0364601763787509</v>
      </c>
      <c r="G383" s="16">
        <v>2783.48232</v>
      </c>
      <c r="H383" s="16">
        <v>4999.19465</v>
      </c>
      <c r="I383" s="24">
        <v>0.556786145544463</v>
      </c>
      <c r="J383" s="25">
        <v>2102.96368</v>
      </c>
      <c r="K383" s="24">
        <v>0.420660491785412</v>
      </c>
      <c r="L383" s="16">
        <v>199.32351</v>
      </c>
      <c r="M383" s="24">
        <v>0.0398711240419494</v>
      </c>
      <c r="N383" s="26">
        <v>15656</v>
      </c>
      <c r="O383" s="27" t="s">
        <v>145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49780</v>
      </c>
      <c r="AG383" s="33">
        <f t="shared" si="23"/>
        <v>0</v>
      </c>
      <c r="AH383" s="1">
        <v>50</v>
      </c>
      <c r="AI383" s="1">
        <v>1054</v>
      </c>
      <c r="AJ383" s="1">
        <v>273</v>
      </c>
    </row>
    <row r="384" s="2" customFormat="1" spans="1:36">
      <c r="A384" s="2" t="str">
        <f>VLOOKUP(B384,'[1]2. ISIC行业分类'!$A$2:$B$102,2,FALSE)</f>
        <v>C2829</v>
      </c>
      <c r="B384" s="14" t="s">
        <v>144</v>
      </c>
      <c r="C384" s="15" t="s">
        <v>39</v>
      </c>
      <c r="D384" s="16">
        <v>103.87431</v>
      </c>
      <c r="E384" s="16">
        <v>2667.772</v>
      </c>
      <c r="F384" s="17">
        <f t="shared" si="20"/>
        <v>0.0389367269766682</v>
      </c>
      <c r="G384" s="16">
        <v>2521.94844</v>
      </c>
      <c r="H384" s="16">
        <v>4092.04862</v>
      </c>
      <c r="I384" s="24">
        <v>0.616304612724763</v>
      </c>
      <c r="J384" s="25">
        <v>1852.75816</v>
      </c>
      <c r="K384" s="24">
        <v>0.452770319234379</v>
      </c>
      <c r="L384" s="16">
        <v>-420.49121</v>
      </c>
      <c r="M384" s="24">
        <v>-0.102758116788945</v>
      </c>
      <c r="N384" s="26">
        <v>13723</v>
      </c>
      <c r="O384" s="27" t="s">
        <v>145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51352</v>
      </c>
      <c r="AG384" s="33">
        <f t="shared" si="23"/>
        <v>0</v>
      </c>
      <c r="AH384" s="1">
        <v>16</v>
      </c>
      <c r="AI384" s="1">
        <v>288</v>
      </c>
      <c r="AJ384" s="1">
        <v>73</v>
      </c>
    </row>
    <row r="385" s="2" customFormat="1" spans="1:36">
      <c r="A385" s="2" t="str">
        <f>VLOOKUP(B385,'[1]2. ISIC行业分类'!$A$2:$B$102,2,FALSE)</f>
        <v>C2829</v>
      </c>
      <c r="B385" s="14" t="s">
        <v>144</v>
      </c>
      <c r="C385" s="15" t="s">
        <v>40</v>
      </c>
      <c r="D385" s="16">
        <v>98.44651</v>
      </c>
      <c r="E385" s="16">
        <v>2294.78824</v>
      </c>
      <c r="F385" s="17">
        <f t="shared" si="20"/>
        <v>0.0429000411820134</v>
      </c>
      <c r="G385" s="16">
        <v>1954.1633</v>
      </c>
      <c r="H385" s="16">
        <v>3765.57916</v>
      </c>
      <c r="I385" s="24">
        <v>0.518954247664787</v>
      </c>
      <c r="J385" s="25">
        <v>1933.48954</v>
      </c>
      <c r="K385" s="24">
        <v>0.5134640536942</v>
      </c>
      <c r="L385" s="16">
        <v>380.98801</v>
      </c>
      <c r="M385" s="24">
        <v>0.101176470819432</v>
      </c>
      <c r="N385" s="26">
        <v>13840</v>
      </c>
      <c r="O385" s="27" t="s">
        <v>145</v>
      </c>
      <c r="AH385" s="1">
        <v>24</v>
      </c>
      <c r="AI385" s="1">
        <v>587</v>
      </c>
      <c r="AJ385" s="1">
        <v>89</v>
      </c>
    </row>
    <row r="386" s="2" customFormat="1" spans="1:36">
      <c r="A386" s="2" t="str">
        <f>VLOOKUP(B386,'[1]2. ISIC行业分类'!$A$2:$B$102,2,FALSE)</f>
        <v>C2829</v>
      </c>
      <c r="B386" s="14" t="s">
        <v>144</v>
      </c>
      <c r="C386" s="15" t="s">
        <v>41</v>
      </c>
      <c r="D386" s="16">
        <v>103.63651</v>
      </c>
      <c r="E386" s="16">
        <v>2121.98325</v>
      </c>
      <c r="F386" s="17">
        <f t="shared" ref="F386:F449" si="24">D386/E386</f>
        <v>0.0488394571446311</v>
      </c>
      <c r="G386" s="16">
        <v>2435.97111</v>
      </c>
      <c r="H386" s="16">
        <v>4476.89214</v>
      </c>
      <c r="I386" s="24">
        <v>0.544121018291944</v>
      </c>
      <c r="J386" s="25">
        <v>2326.17797</v>
      </c>
      <c r="K386" s="24">
        <v>0.519596607927213</v>
      </c>
      <c r="L386" s="16">
        <v>151.86341</v>
      </c>
      <c r="M386" s="24">
        <v>0.0339216146493983</v>
      </c>
      <c r="N386" s="26">
        <v>14962</v>
      </c>
      <c r="O386" s="27" t="s">
        <v>145</v>
      </c>
      <c r="P386" s="1">
        <v>0</v>
      </c>
      <c r="Q386" s="1">
        <v>0</v>
      </c>
      <c r="R386" s="1">
        <v>0</v>
      </c>
      <c r="S386" s="1">
        <v>0</v>
      </c>
      <c r="T386" s="1">
        <v>1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4</v>
      </c>
      <c r="AF386" s="1">
        <v>52029</v>
      </c>
      <c r="AG386" s="33">
        <f t="shared" ref="AG386:AG440" si="25">AE386/AF386</f>
        <v>7.68802014261277e-5</v>
      </c>
      <c r="AH386" s="1">
        <v>18</v>
      </c>
      <c r="AI386" s="1">
        <v>546</v>
      </c>
      <c r="AJ386" s="1">
        <v>56</v>
      </c>
    </row>
    <row r="387" s="2" customFormat="1" spans="1:36">
      <c r="A387" s="2" t="str">
        <f>VLOOKUP(B387,'[1]2. ISIC行业分类'!$A$2:$B$102,2,FALSE)</f>
        <v>C2829</v>
      </c>
      <c r="B387" s="14" t="s">
        <v>144</v>
      </c>
      <c r="C387" s="15" t="s">
        <v>42</v>
      </c>
      <c r="D387" s="16">
        <v>121.95618</v>
      </c>
      <c r="E387" s="16">
        <v>2651.53055</v>
      </c>
      <c r="F387" s="17">
        <f t="shared" si="24"/>
        <v>0.0459946350608708</v>
      </c>
      <c r="G387" s="16">
        <v>2564.12862</v>
      </c>
      <c r="H387" s="16">
        <v>4619.09021</v>
      </c>
      <c r="I387" s="24">
        <v>0.555115510506559</v>
      </c>
      <c r="J387" s="25">
        <v>1736.85922</v>
      </c>
      <c r="K387" s="24">
        <v>0.376017601093788</v>
      </c>
      <c r="L387" s="16">
        <v>243.91235</v>
      </c>
      <c r="M387" s="24">
        <v>0.0528052795920606</v>
      </c>
      <c r="N387" s="26">
        <v>10727</v>
      </c>
      <c r="O387" s="27" t="s">
        <v>145</v>
      </c>
      <c r="P387" s="1">
        <v>1</v>
      </c>
      <c r="Q387" s="1">
        <v>2</v>
      </c>
      <c r="R387" s="1">
        <v>0</v>
      </c>
      <c r="S387" s="1">
        <v>0</v>
      </c>
      <c r="T387" s="1">
        <v>1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8</v>
      </c>
      <c r="AF387" s="1">
        <v>57234</v>
      </c>
      <c r="AG387" s="33">
        <f t="shared" si="25"/>
        <v>0.000139777055596324</v>
      </c>
      <c r="AH387" s="1">
        <v>26</v>
      </c>
      <c r="AI387" s="1">
        <v>498</v>
      </c>
      <c r="AJ387" s="1">
        <v>97</v>
      </c>
    </row>
    <row r="388" s="2" customFormat="1" spans="1:36">
      <c r="A388" s="2" t="str">
        <f>VLOOKUP(B388,'[1]2. ISIC行业分类'!$A$2:$B$102,2,FALSE)</f>
        <v>C2829</v>
      </c>
      <c r="B388" s="14" t="s">
        <v>144</v>
      </c>
      <c r="C388" s="15" t="s">
        <v>43</v>
      </c>
      <c r="D388" s="16">
        <v>131.13197</v>
      </c>
      <c r="E388" s="16">
        <v>2677.36373</v>
      </c>
      <c r="F388" s="17">
        <f t="shared" si="24"/>
        <v>0.0489780183882599</v>
      </c>
      <c r="G388" s="16">
        <v>1939.10108</v>
      </c>
      <c r="H388" s="16">
        <v>3765.65582</v>
      </c>
      <c r="I388" s="24">
        <v>0.514943790056734</v>
      </c>
      <c r="J388" s="25">
        <v>2004.15079</v>
      </c>
      <c r="K388" s="24">
        <v>0.532218260456953</v>
      </c>
      <c r="L388" s="16">
        <v>-72.27746</v>
      </c>
      <c r="M388" s="24">
        <v>-0.0191938571805004</v>
      </c>
      <c r="N388" s="26">
        <v>11134</v>
      </c>
      <c r="O388" s="27" t="s">
        <v>145</v>
      </c>
      <c r="P388" s="1">
        <v>2</v>
      </c>
      <c r="Q388" s="1">
        <v>3</v>
      </c>
      <c r="R388" s="1">
        <v>0</v>
      </c>
      <c r="S388" s="1">
        <v>0</v>
      </c>
      <c r="T388" s="1">
        <v>1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1</v>
      </c>
      <c r="AC388" s="1">
        <v>0</v>
      </c>
      <c r="AD388" s="1">
        <v>0</v>
      </c>
      <c r="AE388" s="1">
        <v>14</v>
      </c>
      <c r="AF388" s="1">
        <v>56270</v>
      </c>
      <c r="AG388" s="33">
        <f t="shared" si="25"/>
        <v>0.000248800426515017</v>
      </c>
      <c r="AH388" s="1">
        <v>10</v>
      </c>
      <c r="AI388" s="1">
        <v>135</v>
      </c>
      <c r="AJ388" s="1">
        <v>21</v>
      </c>
    </row>
    <row r="389" s="2" customFormat="1" spans="1:36">
      <c r="A389" s="2" t="str">
        <f>VLOOKUP(B389,'[1]2. ISIC行业分类'!$A$2:$B$102,2,FALSE)</f>
        <v>C2829</v>
      </c>
      <c r="B389" s="14" t="s">
        <v>144</v>
      </c>
      <c r="C389" s="15" t="s">
        <v>44</v>
      </c>
      <c r="D389" s="16">
        <v>133.37101</v>
      </c>
      <c r="E389" s="16">
        <v>2552.13337</v>
      </c>
      <c r="F389" s="17">
        <f t="shared" si="24"/>
        <v>0.0522586364677329</v>
      </c>
      <c r="G389" s="16">
        <v>2246.96242</v>
      </c>
      <c r="H389" s="16">
        <v>3775.07771</v>
      </c>
      <c r="I389" s="24">
        <v>0.595209580467153</v>
      </c>
      <c r="J389" s="25">
        <v>2170.10455</v>
      </c>
      <c r="K389" s="24">
        <v>0.574850298909476</v>
      </c>
      <c r="L389" s="16">
        <v>39.5592</v>
      </c>
      <c r="M389" s="24">
        <v>0.0104790425625437</v>
      </c>
      <c r="N389" s="26">
        <v>10692</v>
      </c>
      <c r="O389" s="27" t="s">
        <v>145</v>
      </c>
      <c r="P389" s="1">
        <v>0</v>
      </c>
      <c r="Q389" s="1">
        <v>1</v>
      </c>
      <c r="R389" s="1">
        <v>0</v>
      </c>
      <c r="S389" s="1">
        <v>1</v>
      </c>
      <c r="T389" s="1">
        <v>0</v>
      </c>
      <c r="U389" s="1">
        <v>0</v>
      </c>
      <c r="V389" s="1">
        <v>1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5</v>
      </c>
      <c r="AF389" s="1">
        <v>57693</v>
      </c>
      <c r="AG389" s="33">
        <f t="shared" si="25"/>
        <v>8.66656266791465e-5</v>
      </c>
      <c r="AH389" s="1">
        <v>7</v>
      </c>
      <c r="AI389" s="1">
        <v>89</v>
      </c>
      <c r="AJ389" s="1">
        <v>2</v>
      </c>
    </row>
    <row r="390" s="2" customFormat="1" spans="1:36">
      <c r="A390" s="2" t="str">
        <f>VLOOKUP(B390,'[1]2. ISIC行业分类'!$A$2:$B$102,2,FALSE)</f>
        <v>C2829</v>
      </c>
      <c r="B390" s="14" t="s">
        <v>144</v>
      </c>
      <c r="C390" s="15" t="s">
        <v>45</v>
      </c>
      <c r="D390" s="16">
        <v>146.99268</v>
      </c>
      <c r="E390" s="16">
        <v>2905.8479</v>
      </c>
      <c r="F390" s="17">
        <f t="shared" si="24"/>
        <v>0.0505851252572442</v>
      </c>
      <c r="G390" s="16">
        <v>3150.47005</v>
      </c>
      <c r="H390" s="16">
        <v>4761.90476</v>
      </c>
      <c r="I390" s="24">
        <v>0.661598710764639</v>
      </c>
      <c r="J390" s="25">
        <v>2210.37505</v>
      </c>
      <c r="K390" s="24">
        <v>0.464178760685671</v>
      </c>
      <c r="L390" s="16">
        <v>179.90149</v>
      </c>
      <c r="M390" s="24">
        <v>0.0377793129151117</v>
      </c>
      <c r="N390" s="26">
        <v>11808</v>
      </c>
      <c r="O390" s="27" t="s">
        <v>145</v>
      </c>
      <c r="P390" s="1">
        <v>2</v>
      </c>
      <c r="Q390" s="1">
        <v>2</v>
      </c>
      <c r="R390" s="1">
        <v>0</v>
      </c>
      <c r="S390" s="1">
        <v>0</v>
      </c>
      <c r="T390" s="1">
        <v>0</v>
      </c>
      <c r="U390" s="1">
        <v>1</v>
      </c>
      <c r="V390" s="1">
        <v>1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12</v>
      </c>
      <c r="AF390" s="1">
        <v>57560</v>
      </c>
      <c r="AG390" s="33">
        <f t="shared" si="25"/>
        <v>0.000208478109798471</v>
      </c>
      <c r="AH390" s="1">
        <v>1</v>
      </c>
      <c r="AI390" s="1">
        <v>17</v>
      </c>
      <c r="AJ390" s="1">
        <v>0</v>
      </c>
    </row>
    <row r="391" s="2" customFormat="1" spans="1:36">
      <c r="A391" s="2" t="str">
        <f>VLOOKUP(B391,'[1]2. ISIC行业分类'!$A$2:$B$102,2,FALSE)</f>
        <v>C2829</v>
      </c>
      <c r="B391" s="18" t="s">
        <v>144</v>
      </c>
      <c r="C391" s="19">
        <v>2022</v>
      </c>
      <c r="D391" s="20">
        <v>150.3239</v>
      </c>
      <c r="E391" s="20">
        <v>3145.98722</v>
      </c>
      <c r="F391" s="17">
        <f t="shared" si="24"/>
        <v>0.0477827433768151</v>
      </c>
      <c r="G391" s="20">
        <v>2834.52475</v>
      </c>
      <c r="H391" s="20">
        <v>4257.73519</v>
      </c>
      <c r="I391" s="28">
        <v>0.665735331933595</v>
      </c>
      <c r="J391" s="29">
        <v>2125.08246</v>
      </c>
      <c r="K391" s="28">
        <v>0.499110998023341</v>
      </c>
      <c r="L391" s="20">
        <v>96.25055</v>
      </c>
      <c r="M391" s="28">
        <v>0.0226060442241829</v>
      </c>
      <c r="N391" s="30">
        <v>12184</v>
      </c>
      <c r="O391" s="31" t="s">
        <v>145</v>
      </c>
      <c r="P391" s="1">
        <v>2</v>
      </c>
      <c r="Q391" s="1">
        <v>1</v>
      </c>
      <c r="R391" s="1">
        <v>0</v>
      </c>
      <c r="S391" s="1">
        <v>0</v>
      </c>
      <c r="T391" s="1">
        <v>0</v>
      </c>
      <c r="U391" s="1">
        <v>0</v>
      </c>
      <c r="V391" s="1">
        <v>1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8</v>
      </c>
      <c r="AF391" s="1">
        <v>51061</v>
      </c>
      <c r="AG391" s="33">
        <f t="shared" si="25"/>
        <v>0.000156675349092262</v>
      </c>
      <c r="AH391" s="2">
        <v>0</v>
      </c>
      <c r="AI391" s="2">
        <v>0</v>
      </c>
      <c r="AJ391" s="2">
        <v>0</v>
      </c>
    </row>
    <row r="392" s="2" customFormat="1" spans="1:36">
      <c r="A392" s="2" t="str">
        <f>VLOOKUP(B392,'[1]2. ISIC行业分类'!$A$2:$B$102,2,FALSE)</f>
        <v>C2829</v>
      </c>
      <c r="B392" s="14" t="s">
        <v>144</v>
      </c>
      <c r="C392" s="15" t="s">
        <v>71</v>
      </c>
      <c r="D392" s="16">
        <v>148.44548</v>
      </c>
      <c r="E392" s="16">
        <v>3198.1094</v>
      </c>
      <c r="F392" s="17">
        <f t="shared" si="24"/>
        <v>0.0464166360287738</v>
      </c>
      <c r="G392" s="16">
        <v>3635.13289</v>
      </c>
      <c r="H392" s="16">
        <v>4867.82415</v>
      </c>
      <c r="I392" s="24">
        <v>0.746767503916508</v>
      </c>
      <c r="J392" s="25">
        <v>2283.68525</v>
      </c>
      <c r="K392" s="24">
        <v>0.46913881430988</v>
      </c>
      <c r="L392" s="16">
        <v>39.18961</v>
      </c>
      <c r="M392" s="24">
        <v>0.00805074480761594</v>
      </c>
      <c r="N392" s="26">
        <v>12620</v>
      </c>
      <c r="O392" s="27" t="s">
        <v>145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1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2</v>
      </c>
      <c r="AF392" s="1">
        <v>49694</v>
      </c>
      <c r="AG392" s="33">
        <f t="shared" si="25"/>
        <v>4.02463074012959e-5</v>
      </c>
      <c r="AH392" s="1">
        <v>1</v>
      </c>
      <c r="AI392" s="1">
        <v>2</v>
      </c>
      <c r="AJ392" s="1">
        <v>0</v>
      </c>
    </row>
    <row r="393" s="2" customFormat="1" spans="1:36">
      <c r="A393" s="2" t="str">
        <f>VLOOKUP(B393,'[1]2. ISIC行业分类'!$A$2:$B$102,2,FALSE)</f>
        <v>C1104</v>
      </c>
      <c r="B393" s="14" t="s">
        <v>146</v>
      </c>
      <c r="C393" s="15" t="s">
        <v>37</v>
      </c>
      <c r="D393" s="16">
        <v>123.509</v>
      </c>
      <c r="E393" s="16">
        <v>66683</v>
      </c>
      <c r="F393" s="17">
        <f t="shared" si="24"/>
        <v>0.00185218121560218</v>
      </c>
      <c r="G393" s="16">
        <v>52961</v>
      </c>
      <c r="H393" s="16">
        <v>70509</v>
      </c>
      <c r="I393" s="24">
        <v>0.751123969989647</v>
      </c>
      <c r="J393" s="25">
        <v>36300</v>
      </c>
      <c r="K393" s="24">
        <v>0.514827894311365</v>
      </c>
      <c r="L393" s="16">
        <v>6513</v>
      </c>
      <c r="M393" s="24">
        <v>0.0923711866570225</v>
      </c>
      <c r="N393" s="26">
        <v>271000</v>
      </c>
      <c r="O393" s="27" t="s">
        <v>66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51468</v>
      </c>
      <c r="AG393" s="33">
        <f t="shared" si="25"/>
        <v>0</v>
      </c>
      <c r="AH393" s="1">
        <v>19</v>
      </c>
      <c r="AI393" s="1">
        <v>1220</v>
      </c>
      <c r="AJ393" s="1">
        <v>440</v>
      </c>
    </row>
    <row r="394" s="2" customFormat="1" spans="1:36">
      <c r="A394" s="2" t="str">
        <f>VLOOKUP(B394,'[1]2. ISIC行业分类'!$A$2:$B$102,2,FALSE)</f>
        <v>C1104</v>
      </c>
      <c r="B394" s="14" t="s">
        <v>146</v>
      </c>
      <c r="C394" s="15" t="s">
        <v>39</v>
      </c>
      <c r="D394" s="16">
        <v>754</v>
      </c>
      <c r="E394" s="16">
        <v>63056</v>
      </c>
      <c r="F394" s="17">
        <f t="shared" si="24"/>
        <v>0.0119576249682822</v>
      </c>
      <c r="G394" s="16">
        <v>57637</v>
      </c>
      <c r="H394" s="16">
        <v>69667</v>
      </c>
      <c r="I394" s="24">
        <v>0.827321400376075</v>
      </c>
      <c r="J394" s="25">
        <v>35747</v>
      </c>
      <c r="K394" s="24">
        <v>0.513112377452739</v>
      </c>
      <c r="L394" s="16">
        <v>5452</v>
      </c>
      <c r="M394" s="24">
        <v>0.0782579987655561</v>
      </c>
      <c r="N394" s="26">
        <v>263000</v>
      </c>
      <c r="O394" s="27" t="s">
        <v>66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52259</v>
      </c>
      <c r="AG394" s="33">
        <f t="shared" si="25"/>
        <v>0</v>
      </c>
      <c r="AH394" s="1">
        <v>4</v>
      </c>
      <c r="AI394" s="1">
        <v>52</v>
      </c>
      <c r="AJ394" s="1">
        <v>33</v>
      </c>
    </row>
    <row r="395" s="2" customFormat="1" spans="1:36">
      <c r="A395" s="2" t="str">
        <f>VLOOKUP(B395,'[1]2. ISIC行业分类'!$A$2:$B$102,2,FALSE)</f>
        <v>C1104</v>
      </c>
      <c r="B395" s="14" t="s">
        <v>146</v>
      </c>
      <c r="C395" s="15" t="s">
        <v>40</v>
      </c>
      <c r="D395" s="16">
        <v>760</v>
      </c>
      <c r="E395" s="16">
        <v>62799</v>
      </c>
      <c r="F395" s="17">
        <f t="shared" si="24"/>
        <v>0.0121021035366805</v>
      </c>
      <c r="G395" s="16">
        <v>62291</v>
      </c>
      <c r="H395" s="16">
        <v>73490</v>
      </c>
      <c r="I395" s="24">
        <v>0.847611919989114</v>
      </c>
      <c r="J395" s="25">
        <v>36818</v>
      </c>
      <c r="K395" s="24">
        <v>0.50099333242618</v>
      </c>
      <c r="L395" s="16">
        <v>6329</v>
      </c>
      <c r="M395" s="24">
        <v>0.0861205606204926</v>
      </c>
      <c r="N395" s="26">
        <v>264000</v>
      </c>
      <c r="O395" s="27" t="s">
        <v>66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54386</v>
      </c>
      <c r="AG395" s="33">
        <f t="shared" si="25"/>
        <v>0</v>
      </c>
      <c r="AH395" s="1">
        <v>9</v>
      </c>
      <c r="AI395" s="1">
        <v>258</v>
      </c>
      <c r="AJ395" s="1">
        <v>103</v>
      </c>
    </row>
    <row r="396" s="2" customFormat="1" spans="1:36">
      <c r="A396" s="2" t="str">
        <f>VLOOKUP(B396,'[1]2. ISIC行业分类'!$A$2:$B$102,2,FALSE)</f>
        <v>C1104</v>
      </c>
      <c r="B396" s="14" t="s">
        <v>146</v>
      </c>
      <c r="C396" s="15" t="s">
        <v>41</v>
      </c>
      <c r="D396" s="16">
        <v>737</v>
      </c>
      <c r="E396" s="16">
        <v>63525</v>
      </c>
      <c r="F396" s="17">
        <f t="shared" si="24"/>
        <v>0.0116017316017316</v>
      </c>
      <c r="G396" s="16">
        <v>68823</v>
      </c>
      <c r="H396" s="16">
        <v>79804</v>
      </c>
      <c r="I396" s="24">
        <v>0.862400380933287</v>
      </c>
      <c r="J396" s="25">
        <v>39106</v>
      </c>
      <c r="K396" s="24">
        <v>0.49002556262844</v>
      </c>
      <c r="L396" s="16">
        <v>4857</v>
      </c>
      <c r="M396" s="24">
        <v>0.0608616109468197</v>
      </c>
      <c r="N396" s="26">
        <v>263000</v>
      </c>
      <c r="O396" s="27" t="s">
        <v>66</v>
      </c>
      <c r="P396" s="1">
        <v>0</v>
      </c>
      <c r="Q396" s="1">
        <v>0</v>
      </c>
      <c r="R396" s="1">
        <v>0</v>
      </c>
      <c r="S396" s="1">
        <v>0</v>
      </c>
      <c r="T396" s="1">
        <v>3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1</v>
      </c>
      <c r="AD396" s="1">
        <v>0</v>
      </c>
      <c r="AE396" s="1">
        <v>8</v>
      </c>
      <c r="AF396" s="1">
        <v>54764</v>
      </c>
      <c r="AG396" s="33">
        <f t="shared" si="25"/>
        <v>0.000146081367321598</v>
      </c>
      <c r="AH396" s="1">
        <v>14</v>
      </c>
      <c r="AI396" s="1">
        <v>468</v>
      </c>
      <c r="AJ396" s="1">
        <v>148</v>
      </c>
    </row>
    <row r="397" s="2" customFormat="1" spans="1:36">
      <c r="A397" s="2" t="str">
        <f>VLOOKUP(B397,'[1]2. ISIC行业分类'!$A$2:$B$102,2,FALSE)</f>
        <v>C1104</v>
      </c>
      <c r="B397" s="14" t="s">
        <v>146</v>
      </c>
      <c r="C397" s="15" t="s">
        <v>42</v>
      </c>
      <c r="D397" s="16">
        <v>680</v>
      </c>
      <c r="E397" s="16">
        <v>64661</v>
      </c>
      <c r="F397" s="17">
        <f t="shared" si="24"/>
        <v>0.0105163854564575</v>
      </c>
      <c r="G397" s="16">
        <v>63046</v>
      </c>
      <c r="H397" s="16">
        <v>77648</v>
      </c>
      <c r="I397" s="24">
        <v>0.811946218833711</v>
      </c>
      <c r="J397" s="25">
        <v>40164</v>
      </c>
      <c r="K397" s="24">
        <v>0.517257366577375</v>
      </c>
      <c r="L397" s="16">
        <v>12515</v>
      </c>
      <c r="M397" s="24">
        <v>0.161176076653616</v>
      </c>
      <c r="N397" s="26">
        <v>267000</v>
      </c>
      <c r="O397" s="27" t="s">
        <v>66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54795</v>
      </c>
      <c r="AG397" s="33">
        <f t="shared" si="25"/>
        <v>0</v>
      </c>
      <c r="AH397" s="1">
        <v>2</v>
      </c>
      <c r="AI397" s="1">
        <v>41</v>
      </c>
      <c r="AJ397" s="1">
        <v>18</v>
      </c>
    </row>
    <row r="398" s="2" customFormat="1" spans="1:36">
      <c r="A398" s="2" t="str">
        <f>VLOOKUP(B398,'[1]2. ISIC行业分类'!$A$2:$B$102,2,FALSE)</f>
        <v>C1104</v>
      </c>
      <c r="B398" s="18" t="s">
        <v>146</v>
      </c>
      <c r="C398" s="19">
        <v>2019</v>
      </c>
      <c r="D398" s="20">
        <v>711</v>
      </c>
      <c r="E398" s="20">
        <v>67161</v>
      </c>
      <c r="F398" s="17">
        <f t="shared" si="24"/>
        <v>0.0105865010943851</v>
      </c>
      <c r="G398" s="20">
        <v>63679</v>
      </c>
      <c r="H398" s="20">
        <v>78547</v>
      </c>
      <c r="I398" s="28">
        <v>0.810712057748864</v>
      </c>
      <c r="J398" s="29">
        <v>44963</v>
      </c>
      <c r="K398" s="28">
        <v>0.572434338676207</v>
      </c>
      <c r="L398" s="20">
        <v>7314</v>
      </c>
      <c r="M398" s="28">
        <v>0.0931162234076413</v>
      </c>
      <c r="N398" s="30">
        <v>267000</v>
      </c>
      <c r="O398" s="31" t="s">
        <v>66</v>
      </c>
      <c r="P398" s="1">
        <v>1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7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16</v>
      </c>
      <c r="AF398" s="1">
        <v>52568</v>
      </c>
      <c r="AG398" s="33">
        <f t="shared" si="25"/>
        <v>0.000304367676152793</v>
      </c>
      <c r="AH398" s="2">
        <v>0</v>
      </c>
      <c r="AI398" s="2">
        <v>0</v>
      </c>
      <c r="AJ398" s="2">
        <v>0</v>
      </c>
    </row>
    <row r="399" s="2" customFormat="1" spans="1:36">
      <c r="A399" s="2" t="str">
        <f>VLOOKUP(B399,'[1]2. ISIC行业分类'!$A$2:$B$102,2,FALSE)</f>
        <v>C1104</v>
      </c>
      <c r="B399" s="14" t="s">
        <v>146</v>
      </c>
      <c r="C399" s="15" t="s">
        <v>44</v>
      </c>
      <c r="D399" s="16">
        <v>719</v>
      </c>
      <c r="E399" s="16">
        <v>70372</v>
      </c>
      <c r="F399" s="17">
        <f t="shared" si="24"/>
        <v>0.0102171318137896</v>
      </c>
      <c r="G399" s="16">
        <v>79366</v>
      </c>
      <c r="H399" s="16">
        <v>92918</v>
      </c>
      <c r="I399" s="24">
        <v>0.85415097182462</v>
      </c>
      <c r="J399" s="25">
        <v>48010</v>
      </c>
      <c r="K399" s="24">
        <v>0.516692137153189</v>
      </c>
      <c r="L399" s="16">
        <v>7120</v>
      </c>
      <c r="M399" s="24">
        <v>0.0766267031145741</v>
      </c>
      <c r="N399" s="26">
        <v>291000</v>
      </c>
      <c r="O399" s="27" t="s">
        <v>66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1</v>
      </c>
      <c r="V399" s="1">
        <v>3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8</v>
      </c>
      <c r="AF399" s="1">
        <v>49263</v>
      </c>
      <c r="AG399" s="33">
        <f t="shared" si="25"/>
        <v>0.000162393682885736</v>
      </c>
      <c r="AH399" s="1">
        <v>3</v>
      </c>
      <c r="AI399" s="1">
        <v>146</v>
      </c>
      <c r="AJ399" s="1">
        <v>6</v>
      </c>
    </row>
    <row r="400" s="2" customFormat="1" spans="1:36">
      <c r="A400" s="2" t="str">
        <f>VLOOKUP(B400,'[1]2. ISIC行业分类'!$A$2:$B$102,2,FALSE)</f>
        <v>C1200</v>
      </c>
      <c r="B400" s="14" t="s">
        <v>147</v>
      </c>
      <c r="C400" s="15" t="s">
        <v>37</v>
      </c>
      <c r="D400" s="16">
        <v>433</v>
      </c>
      <c r="E400" s="16">
        <v>29767</v>
      </c>
      <c r="F400" s="17">
        <f t="shared" si="24"/>
        <v>0.0145463096717842</v>
      </c>
      <c r="G400" s="16">
        <v>46390</v>
      </c>
      <c r="H400" s="16">
        <v>35187</v>
      </c>
      <c r="I400" s="24">
        <v>1.31838463068747</v>
      </c>
      <c r="J400" s="25">
        <v>12759</v>
      </c>
      <c r="K400" s="24">
        <v>0.362605507715918</v>
      </c>
      <c r="L400" s="16">
        <v>7493</v>
      </c>
      <c r="M400" s="24">
        <v>0.212947963736607</v>
      </c>
      <c r="N400" s="26">
        <v>82500</v>
      </c>
      <c r="O400" s="27" t="s">
        <v>148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52553</v>
      </c>
      <c r="AG400" s="33">
        <f t="shared" si="25"/>
        <v>0</v>
      </c>
      <c r="AH400" s="1">
        <v>75</v>
      </c>
      <c r="AI400" s="1">
        <v>2291</v>
      </c>
      <c r="AJ400" s="1">
        <v>3455</v>
      </c>
    </row>
    <row r="401" s="2" customFormat="1" spans="1:36">
      <c r="A401" s="2" t="str">
        <f>VLOOKUP(B401,'[1]2. ISIC行业分类'!$A$2:$B$102,2,FALSE)</f>
        <v>C1200</v>
      </c>
      <c r="B401" s="14" t="s">
        <v>147</v>
      </c>
      <c r="C401" s="15" t="s">
        <v>39</v>
      </c>
      <c r="D401" s="16">
        <v>423</v>
      </c>
      <c r="E401" s="16">
        <v>26794</v>
      </c>
      <c r="F401" s="17">
        <f t="shared" si="24"/>
        <v>0.0157871165186236</v>
      </c>
      <c r="G401" s="16">
        <v>45432</v>
      </c>
      <c r="H401" s="16">
        <v>33956</v>
      </c>
      <c r="I401" s="24">
        <v>1.33796678053952</v>
      </c>
      <c r="J401" s="25">
        <v>11767</v>
      </c>
      <c r="K401" s="24">
        <v>0.346536694545883</v>
      </c>
      <c r="L401" s="16">
        <v>6873</v>
      </c>
      <c r="M401" s="24">
        <v>0.2024089998822</v>
      </c>
      <c r="N401" s="26">
        <v>80200</v>
      </c>
      <c r="O401" s="27" t="s">
        <v>148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56376</v>
      </c>
      <c r="AG401" s="33">
        <f t="shared" si="25"/>
        <v>0</v>
      </c>
      <c r="AH401" s="1">
        <v>127</v>
      </c>
      <c r="AI401" s="1">
        <v>4191</v>
      </c>
      <c r="AJ401" s="1">
        <v>7516</v>
      </c>
    </row>
    <row r="402" s="2" customFormat="1" spans="1:36">
      <c r="A402" s="2" t="str">
        <f>VLOOKUP(B402,'[1]2. ISIC行业分类'!$A$2:$B$102,2,FALSE)</f>
        <v>C1200</v>
      </c>
      <c r="B402" s="14" t="s">
        <v>147</v>
      </c>
      <c r="C402" s="15" t="s">
        <v>40</v>
      </c>
      <c r="D402" s="16">
        <v>429</v>
      </c>
      <c r="E402" s="16">
        <v>26685</v>
      </c>
      <c r="F402" s="17">
        <f t="shared" si="24"/>
        <v>0.0160764474423834</v>
      </c>
      <c r="G402" s="16">
        <v>47751</v>
      </c>
      <c r="H402" s="16">
        <v>36851</v>
      </c>
      <c r="I402" s="24">
        <v>1.29578573173048</v>
      </c>
      <c r="J402" s="25">
        <v>12360</v>
      </c>
      <c r="K402" s="24">
        <v>0.335404737998969</v>
      </c>
      <c r="L402" s="16">
        <v>6967</v>
      </c>
      <c r="M402" s="24">
        <v>0.189058641556538</v>
      </c>
      <c r="N402" s="26">
        <v>79500</v>
      </c>
      <c r="O402" s="27" t="s">
        <v>148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55693</v>
      </c>
      <c r="AG402" s="33">
        <f t="shared" si="25"/>
        <v>0</v>
      </c>
      <c r="AH402" s="1">
        <v>179</v>
      </c>
      <c r="AI402" s="1">
        <v>4570</v>
      </c>
      <c r="AJ402" s="1">
        <v>5149</v>
      </c>
    </row>
    <row r="403" s="2" customFormat="1" spans="1:36">
      <c r="A403" s="2" t="str">
        <f>VLOOKUP(B403,'[1]2. ISIC行业分类'!$A$2:$B$102,2,FALSE)</f>
        <v>C1200</v>
      </c>
      <c r="B403" s="14" t="s">
        <v>147</v>
      </c>
      <c r="C403" s="15" t="s">
        <v>41</v>
      </c>
      <c r="D403" s="16">
        <v>453</v>
      </c>
      <c r="E403" s="16">
        <v>28748</v>
      </c>
      <c r="F403" s="17">
        <f t="shared" si="24"/>
        <v>0.0157576179212467</v>
      </c>
      <c r="G403" s="16">
        <v>53198</v>
      </c>
      <c r="H403" s="16">
        <v>42968</v>
      </c>
      <c r="I403" s="24">
        <v>1.23808415565072</v>
      </c>
      <c r="J403" s="25">
        <v>14566</v>
      </c>
      <c r="K403" s="24">
        <v>0.338996462483709</v>
      </c>
      <c r="L403" s="16">
        <v>6035</v>
      </c>
      <c r="M403" s="24">
        <v>0.140453360640477</v>
      </c>
      <c r="N403" s="26">
        <v>80600</v>
      </c>
      <c r="O403" s="27" t="s">
        <v>148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50683</v>
      </c>
      <c r="AG403" s="33">
        <f t="shared" si="25"/>
        <v>0</v>
      </c>
      <c r="AH403" s="1">
        <v>189</v>
      </c>
      <c r="AI403" s="1">
        <v>8424</v>
      </c>
      <c r="AJ403" s="1">
        <v>4202</v>
      </c>
    </row>
    <row r="404" s="2" customFormat="1" spans="1:36">
      <c r="A404" s="2" t="str">
        <f>VLOOKUP(B404,'[1]2. ISIC行业分类'!$A$2:$B$102,2,FALSE)</f>
        <v>C1200</v>
      </c>
      <c r="B404" s="14" t="s">
        <v>147</v>
      </c>
      <c r="C404" s="15" t="s">
        <v>42</v>
      </c>
      <c r="D404" s="16">
        <v>383</v>
      </c>
      <c r="E404" s="16">
        <v>29625</v>
      </c>
      <c r="F404" s="17">
        <f t="shared" si="24"/>
        <v>0.0129282700421941</v>
      </c>
      <c r="G404" s="16">
        <v>50540</v>
      </c>
      <c r="H404" s="16">
        <v>39801</v>
      </c>
      <c r="I404" s="24">
        <v>1.26981734127283</v>
      </c>
      <c r="J404" s="25">
        <v>14557</v>
      </c>
      <c r="K404" s="24">
        <v>0.365744579281928</v>
      </c>
      <c r="L404" s="16">
        <v>7911</v>
      </c>
      <c r="M404" s="24">
        <v>0.198763850154519</v>
      </c>
      <c r="N404" s="26">
        <v>77400</v>
      </c>
      <c r="O404" s="27" t="s">
        <v>148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50529</v>
      </c>
      <c r="AG404" s="33">
        <f t="shared" si="25"/>
        <v>0</v>
      </c>
      <c r="AH404" s="1">
        <v>144</v>
      </c>
      <c r="AI404" s="1">
        <v>4120</v>
      </c>
      <c r="AJ404" s="1">
        <v>1990</v>
      </c>
    </row>
    <row r="405" s="2" customFormat="1" spans="1:36">
      <c r="A405" s="2" t="str">
        <f>VLOOKUP(B405,'[1]2. ISIC行业分类'!$A$2:$B$102,2,FALSE)</f>
        <v>C1200</v>
      </c>
      <c r="B405" s="14" t="s">
        <v>147</v>
      </c>
      <c r="C405" s="15" t="s">
        <v>43</v>
      </c>
      <c r="D405" s="16">
        <v>465</v>
      </c>
      <c r="E405" s="16">
        <v>29805</v>
      </c>
      <c r="F405" s="17">
        <f t="shared" si="24"/>
        <v>0.015601409159537</v>
      </c>
      <c r="G405" s="16">
        <v>52474</v>
      </c>
      <c r="H405" s="16">
        <v>42875</v>
      </c>
      <c r="I405" s="24">
        <v>1.2238833819242</v>
      </c>
      <c r="J405" s="25">
        <v>15212</v>
      </c>
      <c r="K405" s="24">
        <v>0.354798833819242</v>
      </c>
      <c r="L405" s="16">
        <v>7185</v>
      </c>
      <c r="M405" s="24">
        <v>0.167580174927114</v>
      </c>
      <c r="N405" s="26">
        <v>73500</v>
      </c>
      <c r="O405" s="27" t="s">
        <v>148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49451</v>
      </c>
      <c r="AG405" s="33">
        <f t="shared" si="25"/>
        <v>0</v>
      </c>
      <c r="AH405" s="1">
        <v>136</v>
      </c>
      <c r="AI405" s="1">
        <v>3110</v>
      </c>
      <c r="AJ405" s="1">
        <v>1172</v>
      </c>
    </row>
    <row r="406" s="2" customFormat="1" spans="1:36">
      <c r="A406" s="2" t="str">
        <f>VLOOKUP(B406,'[1]2. ISIC行业分类'!$A$2:$B$102,2,FALSE)</f>
        <v>C1200</v>
      </c>
      <c r="B406" s="14" t="s">
        <v>147</v>
      </c>
      <c r="C406" s="15" t="s">
        <v>44</v>
      </c>
      <c r="D406" s="16">
        <v>495</v>
      </c>
      <c r="E406" s="16">
        <v>28694</v>
      </c>
      <c r="F406" s="17">
        <f t="shared" si="24"/>
        <v>0.0172509932390047</v>
      </c>
      <c r="G406" s="16">
        <v>55446</v>
      </c>
      <c r="H406" s="16">
        <v>44815</v>
      </c>
      <c r="I406" s="24">
        <v>1.23721968091041</v>
      </c>
      <c r="J406" s="25">
        <v>15606</v>
      </c>
      <c r="K406" s="24">
        <v>0.348231618877608</v>
      </c>
      <c r="L406" s="16">
        <v>8056</v>
      </c>
      <c r="M406" s="24">
        <v>0.17976124065603</v>
      </c>
      <c r="N406" s="26">
        <v>71000</v>
      </c>
      <c r="O406" s="27" t="s">
        <v>148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51314</v>
      </c>
      <c r="AG406" s="33">
        <f t="shared" si="25"/>
        <v>0</v>
      </c>
      <c r="AH406" s="1">
        <v>135</v>
      </c>
      <c r="AI406" s="1">
        <v>2387</v>
      </c>
      <c r="AJ406" s="1">
        <v>680</v>
      </c>
    </row>
    <row r="407" s="2" customFormat="1" spans="1:36">
      <c r="A407" s="2" t="str">
        <f>VLOOKUP(B407,'[1]2. ISIC行业分类'!$A$2:$B$102,2,FALSE)</f>
        <v>C1200</v>
      </c>
      <c r="B407" s="14" t="s">
        <v>147</v>
      </c>
      <c r="C407" s="15" t="s">
        <v>45</v>
      </c>
      <c r="D407" s="16">
        <v>617</v>
      </c>
      <c r="E407" s="16">
        <v>31405</v>
      </c>
      <c r="F407" s="17">
        <f t="shared" si="24"/>
        <v>0.0196465530966407</v>
      </c>
      <c r="G407" s="16">
        <v>49498</v>
      </c>
      <c r="H407" s="16">
        <v>41290</v>
      </c>
      <c r="I407" s="24">
        <v>1.19878905303948</v>
      </c>
      <c r="J407" s="25">
        <v>15258</v>
      </c>
      <c r="K407" s="24">
        <v>0.369532574473238</v>
      </c>
      <c r="L407" s="16">
        <v>9109</v>
      </c>
      <c r="M407" s="24">
        <v>0.220610317268104</v>
      </c>
      <c r="N407" s="26">
        <v>69600</v>
      </c>
      <c r="O407" s="27" t="s">
        <v>148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55596</v>
      </c>
      <c r="AG407" s="33">
        <f t="shared" si="25"/>
        <v>0</v>
      </c>
      <c r="AH407" s="1">
        <v>57</v>
      </c>
      <c r="AI407" s="1">
        <v>594</v>
      </c>
      <c r="AJ407" s="1">
        <v>130</v>
      </c>
    </row>
    <row r="408" s="2" customFormat="1" spans="1:36">
      <c r="A408" s="2" t="str">
        <f>VLOOKUP(B408,'[1]2. ISIC行业分类'!$A$2:$B$102,2,FALSE)</f>
        <v>C2733</v>
      </c>
      <c r="B408" s="14" t="s">
        <v>149</v>
      </c>
      <c r="C408" s="15" t="s">
        <v>37</v>
      </c>
      <c r="D408" s="16">
        <v>10.76085</v>
      </c>
      <c r="E408" s="16">
        <v>607.57248</v>
      </c>
      <c r="F408" s="17">
        <f t="shared" si="24"/>
        <v>0.0177112202316998</v>
      </c>
      <c r="G408" s="16">
        <v>177.37336</v>
      </c>
      <c r="H408" s="16">
        <v>501.12813</v>
      </c>
      <c r="I408" s="24">
        <v>0.353948121012484</v>
      </c>
      <c r="J408" s="25">
        <v>406.18895</v>
      </c>
      <c r="K408" s="24">
        <v>0.810549090509048</v>
      </c>
      <c r="L408" s="16">
        <v>24.42777</v>
      </c>
      <c r="M408" s="24">
        <v>0.0487455573487762</v>
      </c>
      <c r="N408" s="26">
        <v>6200</v>
      </c>
      <c r="O408" s="27" t="s">
        <v>64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38137</v>
      </c>
      <c r="AG408" s="33">
        <f t="shared" si="25"/>
        <v>0</v>
      </c>
      <c r="AH408" s="1">
        <v>6</v>
      </c>
      <c r="AI408" s="1">
        <v>180</v>
      </c>
      <c r="AJ408" s="1">
        <v>54</v>
      </c>
    </row>
    <row r="409" s="2" customFormat="1" spans="1:36">
      <c r="A409" s="2" t="str">
        <f>VLOOKUP(B409,'[1]2. ISIC行业分类'!$A$2:$B$102,2,FALSE)</f>
        <v>C2733</v>
      </c>
      <c r="B409" s="14" t="s">
        <v>149</v>
      </c>
      <c r="C409" s="15" t="s">
        <v>39</v>
      </c>
      <c r="D409" s="16">
        <v>11.54088</v>
      </c>
      <c r="E409" s="16">
        <v>604.06082</v>
      </c>
      <c r="F409" s="17">
        <f t="shared" si="24"/>
        <v>0.0191054933839278</v>
      </c>
      <c r="G409" s="16">
        <v>178.21776</v>
      </c>
      <c r="H409" s="16">
        <v>463.44828</v>
      </c>
      <c r="I409" s="24">
        <v>0.384547246566542</v>
      </c>
      <c r="J409" s="25">
        <v>384.22047</v>
      </c>
      <c r="K409" s="24">
        <v>0.829047137687079</v>
      </c>
      <c r="L409" s="16">
        <v>7.26256</v>
      </c>
      <c r="M409" s="24">
        <v>0.0156707022410354</v>
      </c>
      <c r="N409" s="26">
        <v>6200</v>
      </c>
      <c r="O409" s="27" t="s">
        <v>64</v>
      </c>
      <c r="P409" s="1">
        <v>0</v>
      </c>
      <c r="Q409" s="1">
        <v>0</v>
      </c>
      <c r="R409" s="1">
        <v>0</v>
      </c>
      <c r="S409" s="1">
        <v>1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1</v>
      </c>
      <c r="AF409" s="1">
        <v>37850</v>
      </c>
      <c r="AG409" s="33">
        <f t="shared" si="25"/>
        <v>2.64200792602378e-5</v>
      </c>
      <c r="AH409" s="1">
        <v>4</v>
      </c>
      <c r="AI409" s="1">
        <v>244</v>
      </c>
      <c r="AJ409" s="1">
        <v>39</v>
      </c>
    </row>
    <row r="410" s="2" customFormat="1" spans="1:36">
      <c r="A410" s="2" t="str">
        <f>VLOOKUP(B410,'[1]2. ISIC行业分类'!$A$2:$B$102,2,FALSE)</f>
        <v>C2733</v>
      </c>
      <c r="B410" s="14" t="s">
        <v>149</v>
      </c>
      <c r="C410" s="15" t="s">
        <v>40</v>
      </c>
      <c r="D410" s="16">
        <v>13.61487</v>
      </c>
      <c r="E410" s="16">
        <v>611.36071</v>
      </c>
      <c r="F410" s="17">
        <f t="shared" si="24"/>
        <v>0.0222697824333526</v>
      </c>
      <c r="G410" s="16">
        <v>189.59569</v>
      </c>
      <c r="H410" s="16">
        <v>477.52666</v>
      </c>
      <c r="I410" s="24">
        <v>0.397036869103811</v>
      </c>
      <c r="J410" s="25">
        <v>385.91259</v>
      </c>
      <c r="K410" s="24">
        <v>0.808148784823867</v>
      </c>
      <c r="L410" s="16">
        <v>24.1233</v>
      </c>
      <c r="M410" s="24">
        <v>0.0505171795015591</v>
      </c>
      <c r="N410" s="26">
        <v>6000</v>
      </c>
      <c r="O410" s="27" t="s">
        <v>64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42729</v>
      </c>
      <c r="AG410" s="33">
        <f t="shared" si="25"/>
        <v>0</v>
      </c>
      <c r="AH410" s="1">
        <v>11</v>
      </c>
      <c r="AI410" s="1">
        <v>232</v>
      </c>
      <c r="AJ410" s="1">
        <v>89</v>
      </c>
    </row>
    <row r="411" s="2" customFormat="1" spans="1:36">
      <c r="A411" s="2" t="str">
        <f>VLOOKUP(B411,'[1]2. ISIC行业分类'!$A$2:$B$102,2,FALSE)</f>
        <v>C2733</v>
      </c>
      <c r="B411" s="14" t="s">
        <v>149</v>
      </c>
      <c r="C411" s="15" t="s">
        <v>41</v>
      </c>
      <c r="D411" s="16">
        <v>15.70283</v>
      </c>
      <c r="E411" s="16">
        <v>749.60615</v>
      </c>
      <c r="F411" s="17">
        <f t="shared" si="24"/>
        <v>0.020948107216036</v>
      </c>
      <c r="G411" s="16">
        <v>242.73055</v>
      </c>
      <c r="H411" s="16">
        <v>566.58021</v>
      </c>
      <c r="I411" s="24">
        <v>0.428413392695096</v>
      </c>
      <c r="J411" s="25">
        <v>443.45821</v>
      </c>
      <c r="K411" s="24">
        <v>0.782692727654572</v>
      </c>
      <c r="L411" s="16">
        <v>26.20797</v>
      </c>
      <c r="M411" s="24">
        <v>0.0462564161921575</v>
      </c>
      <c r="N411" s="26">
        <v>6717</v>
      </c>
      <c r="O411" s="27" t="s">
        <v>64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4</v>
      </c>
      <c r="AF411" s="1">
        <v>38710</v>
      </c>
      <c r="AG411" s="33">
        <f t="shared" si="25"/>
        <v>0.000103332472229398</v>
      </c>
      <c r="AH411" s="1">
        <v>5</v>
      </c>
      <c r="AI411" s="1">
        <v>51</v>
      </c>
      <c r="AJ411" s="1">
        <v>17</v>
      </c>
    </row>
    <row r="412" s="2" customFormat="1" spans="1:36">
      <c r="A412" s="2" t="str">
        <f>VLOOKUP(B412,'[1]2. ISIC行业分类'!$A$2:$B$102,2,FALSE)</f>
        <v>C2733</v>
      </c>
      <c r="B412" s="14" t="s">
        <v>149</v>
      </c>
      <c r="C412" s="15" t="s">
        <v>42</v>
      </c>
      <c r="D412" s="16">
        <v>18.0693</v>
      </c>
      <c r="E412" s="16">
        <v>741.36135</v>
      </c>
      <c r="F412" s="17">
        <f t="shared" si="24"/>
        <v>0.0243731346394036</v>
      </c>
      <c r="G412" s="16">
        <v>212.29563</v>
      </c>
      <c r="H412" s="16">
        <v>519.15159</v>
      </c>
      <c r="I412" s="24">
        <v>0.408928016574118</v>
      </c>
      <c r="J412" s="25">
        <v>435.33433</v>
      </c>
      <c r="K412" s="24">
        <v>0.838549545807998</v>
      </c>
      <c r="L412" s="16">
        <v>41.47241</v>
      </c>
      <c r="M412" s="24">
        <v>0.0798849715552253</v>
      </c>
      <c r="N412" s="26">
        <v>7271</v>
      </c>
      <c r="O412" s="27" t="s">
        <v>64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38635</v>
      </c>
      <c r="AG412" s="33">
        <f t="shared" si="25"/>
        <v>0</v>
      </c>
      <c r="AH412" s="1">
        <v>4</v>
      </c>
      <c r="AI412" s="1">
        <v>65</v>
      </c>
      <c r="AJ412" s="1">
        <v>9</v>
      </c>
    </row>
    <row r="413" s="2" customFormat="1" spans="1:36">
      <c r="A413" s="2" t="str">
        <f>VLOOKUP(B413,'[1]2. ISIC行业分类'!$A$2:$B$102,2,FALSE)</f>
        <v>C2733</v>
      </c>
      <c r="B413" s="14" t="s">
        <v>149</v>
      </c>
      <c r="C413" s="15" t="s">
        <v>43</v>
      </c>
      <c r="D413" s="16">
        <v>19.81515</v>
      </c>
      <c r="E413" s="16">
        <v>758.47492</v>
      </c>
      <c r="F413" s="17">
        <f t="shared" si="24"/>
        <v>0.0261249903951999</v>
      </c>
      <c r="G413" s="16">
        <v>303.86376</v>
      </c>
      <c r="H413" s="16">
        <v>547.77129</v>
      </c>
      <c r="I413" s="24">
        <v>0.554727430128731</v>
      </c>
      <c r="J413" s="25">
        <v>448.95747</v>
      </c>
      <c r="K413" s="24">
        <v>0.819607522694371</v>
      </c>
      <c r="L413" s="16">
        <v>15.86578</v>
      </c>
      <c r="M413" s="24">
        <v>0.0289642416271944</v>
      </c>
      <c r="N413" s="26">
        <v>7113</v>
      </c>
      <c r="O413" s="27" t="s">
        <v>64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38298</v>
      </c>
      <c r="AG413" s="33">
        <f t="shared" si="25"/>
        <v>0</v>
      </c>
      <c r="AH413" s="1">
        <v>5</v>
      </c>
      <c r="AI413" s="1">
        <v>114</v>
      </c>
      <c r="AJ413" s="1">
        <v>17</v>
      </c>
    </row>
    <row r="414" s="2" customFormat="1" spans="1:36">
      <c r="A414" s="2" t="str">
        <f>VLOOKUP(B414,'[1]2. ISIC行业分类'!$A$2:$B$102,2,FALSE)</f>
        <v>C2733</v>
      </c>
      <c r="B414" s="14" t="s">
        <v>149</v>
      </c>
      <c r="C414" s="15" t="s">
        <v>44</v>
      </c>
      <c r="D414" s="16">
        <v>17.24722</v>
      </c>
      <c r="E414" s="16">
        <v>835.85688</v>
      </c>
      <c r="F414" s="17">
        <f t="shared" si="24"/>
        <v>0.0206341784253783</v>
      </c>
      <c r="G414" s="16">
        <v>431.33823</v>
      </c>
      <c r="H414" s="16">
        <v>666.62508</v>
      </c>
      <c r="I414" s="24">
        <v>0.647047707836015</v>
      </c>
      <c r="J414" s="25">
        <v>485.74434</v>
      </c>
      <c r="K414" s="24">
        <v>0.72866196393331</v>
      </c>
      <c r="L414" s="16">
        <v>11.063</v>
      </c>
      <c r="M414" s="24">
        <v>0.0165955352294876</v>
      </c>
      <c r="N414" s="26">
        <v>7385</v>
      </c>
      <c r="O414" s="27" t="s">
        <v>64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39848</v>
      </c>
      <c r="AG414" s="33">
        <f t="shared" si="25"/>
        <v>0</v>
      </c>
      <c r="AH414" s="1">
        <v>4</v>
      </c>
      <c r="AI414" s="1">
        <v>121</v>
      </c>
      <c r="AJ414" s="1">
        <v>10</v>
      </c>
    </row>
    <row r="415" s="2" customFormat="1" spans="1:36">
      <c r="A415" s="2" t="str">
        <f>VLOOKUP(B415,'[1]2. ISIC行业分类'!$A$2:$B$102,2,FALSE)</f>
        <v>C3091</v>
      </c>
      <c r="B415" s="14" t="s">
        <v>150</v>
      </c>
      <c r="C415" s="15" t="s">
        <v>37</v>
      </c>
      <c r="D415" s="16">
        <v>13.38619</v>
      </c>
      <c r="E415" s="16">
        <v>1314.89439</v>
      </c>
      <c r="F415" s="17">
        <f t="shared" si="24"/>
        <v>0.0101804297758088</v>
      </c>
      <c r="G415" s="16">
        <v>799.06555</v>
      </c>
      <c r="H415" s="16">
        <v>1248.04939</v>
      </c>
      <c r="I415" s="24">
        <v>0.640251544852724</v>
      </c>
      <c r="J415" s="25">
        <v>607.23476</v>
      </c>
      <c r="K415" s="24">
        <v>0.486547058846766</v>
      </c>
      <c r="L415" s="16">
        <v>31.72063</v>
      </c>
      <c r="M415" s="24">
        <v>0.0254161656214583</v>
      </c>
      <c r="N415" s="26">
        <v>0</v>
      </c>
      <c r="O415" s="27" t="s">
        <v>135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25051</v>
      </c>
      <c r="AG415" s="33">
        <f t="shared" si="25"/>
        <v>0</v>
      </c>
      <c r="AH415" s="1">
        <v>1</v>
      </c>
      <c r="AI415" s="1">
        <v>11</v>
      </c>
      <c r="AJ415" s="1">
        <v>7</v>
      </c>
    </row>
    <row r="416" s="2" customFormat="1" spans="1:36">
      <c r="A416" s="2" t="str">
        <f>VLOOKUP(B416,'[1]2. ISIC行业分类'!$A$2:$B$102,2,FALSE)</f>
        <v>C3091</v>
      </c>
      <c r="B416" s="14" t="s">
        <v>150</v>
      </c>
      <c r="C416" s="15" t="s">
        <v>39</v>
      </c>
      <c r="D416" s="16">
        <v>32.26174</v>
      </c>
      <c r="E416" s="16">
        <v>1328.88406</v>
      </c>
      <c r="F416" s="17">
        <f t="shared" si="24"/>
        <v>0.0242773173154022</v>
      </c>
      <c r="G416" s="16">
        <v>857.26962</v>
      </c>
      <c r="H416" s="16">
        <v>1277.1621</v>
      </c>
      <c r="I416" s="24">
        <v>0.671230081130657</v>
      </c>
      <c r="J416" s="25">
        <v>593.96145</v>
      </c>
      <c r="K416" s="24">
        <v>0.465063479412676</v>
      </c>
      <c r="L416" s="16">
        <v>32.59191</v>
      </c>
      <c r="M416" s="24">
        <v>0.0255190081196428</v>
      </c>
      <c r="N416" s="26">
        <v>4553</v>
      </c>
      <c r="O416" s="27" t="s">
        <v>135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34164</v>
      </c>
      <c r="AG416" s="33">
        <f t="shared" si="25"/>
        <v>0</v>
      </c>
      <c r="AH416" s="1">
        <v>1</v>
      </c>
      <c r="AI416" s="1">
        <v>12</v>
      </c>
      <c r="AJ416" s="1">
        <v>1</v>
      </c>
    </row>
    <row r="417" s="2" customFormat="1" spans="1:36">
      <c r="A417" s="2" t="str">
        <f>VLOOKUP(B417,'[1]2. ISIC行业分类'!$A$2:$B$102,2,FALSE)</f>
        <v>C3091</v>
      </c>
      <c r="B417" s="14" t="s">
        <v>150</v>
      </c>
      <c r="C417" s="15" t="s">
        <v>40</v>
      </c>
      <c r="D417" s="16">
        <v>41.95609</v>
      </c>
      <c r="E417" s="16">
        <v>1417.67339</v>
      </c>
      <c r="F417" s="17">
        <f t="shared" si="24"/>
        <v>0.0295950324637186</v>
      </c>
      <c r="G417" s="16">
        <v>1022.71931</v>
      </c>
      <c r="H417" s="16">
        <v>1502.96527</v>
      </c>
      <c r="I417" s="24">
        <v>0.680467693042568</v>
      </c>
      <c r="J417" s="25">
        <v>638.00169</v>
      </c>
      <c r="K417" s="24">
        <v>0.42449529788536</v>
      </c>
      <c r="L417" s="16">
        <v>54.9773</v>
      </c>
      <c r="M417" s="24">
        <v>0.036579221820608</v>
      </c>
      <c r="N417" s="26">
        <v>5069</v>
      </c>
      <c r="O417" s="27" t="s">
        <v>135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43656</v>
      </c>
      <c r="AG417" s="33">
        <f t="shared" si="25"/>
        <v>0</v>
      </c>
      <c r="AH417" s="1">
        <v>1</v>
      </c>
      <c r="AI417" s="1">
        <v>22</v>
      </c>
      <c r="AJ417" s="1">
        <v>1</v>
      </c>
    </row>
    <row r="418" s="2" customFormat="1" spans="1:36">
      <c r="A418" s="2" t="str">
        <f>VLOOKUP(B418,'[1]2. ISIC行业分类'!$A$2:$B$102,2,FALSE)</f>
        <v>C3091</v>
      </c>
      <c r="B418" s="14" t="s">
        <v>150</v>
      </c>
      <c r="C418" s="15" t="s">
        <v>41</v>
      </c>
      <c r="D418" s="16">
        <v>41.06148</v>
      </c>
      <c r="E418" s="16">
        <v>1625.90778</v>
      </c>
      <c r="F418" s="17">
        <f t="shared" si="24"/>
        <v>0.0252544950612144</v>
      </c>
      <c r="G418" s="16">
        <v>1124.60855</v>
      </c>
      <c r="H418" s="16">
        <v>1759.30956</v>
      </c>
      <c r="I418" s="24">
        <v>0.63923289884243</v>
      </c>
      <c r="J418" s="25">
        <v>820.27738</v>
      </c>
      <c r="K418" s="24">
        <v>0.466249600780888</v>
      </c>
      <c r="L418" s="16">
        <v>53.65754</v>
      </c>
      <c r="M418" s="24">
        <v>0.0304992033351993</v>
      </c>
      <c r="N418" s="26">
        <v>5887</v>
      </c>
      <c r="O418" s="27" t="s">
        <v>135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53182</v>
      </c>
      <c r="AG418" s="33">
        <f t="shared" si="25"/>
        <v>0</v>
      </c>
      <c r="AH418" s="1">
        <v>2</v>
      </c>
      <c r="AI418" s="1">
        <v>62</v>
      </c>
      <c r="AJ418" s="1">
        <v>12</v>
      </c>
    </row>
    <row r="419" s="2" customFormat="1" spans="1:36">
      <c r="A419" s="2" t="str">
        <f>VLOOKUP(B419,'[1]2. ISIC行业分类'!$A$2:$B$102,2,FALSE)</f>
        <v>C3091</v>
      </c>
      <c r="B419" s="14" t="s">
        <v>150</v>
      </c>
      <c r="C419" s="15" t="s">
        <v>42</v>
      </c>
      <c r="D419" s="16">
        <v>31.14037</v>
      </c>
      <c r="E419" s="16">
        <v>1674.18251</v>
      </c>
      <c r="F419" s="17">
        <f t="shared" si="24"/>
        <v>0.018600343638759</v>
      </c>
      <c r="G419" s="16">
        <v>919.50996</v>
      </c>
      <c r="H419" s="16">
        <v>1550.12137</v>
      </c>
      <c r="I419" s="24">
        <v>0.593185783897683</v>
      </c>
      <c r="J419" s="25">
        <v>595.89421</v>
      </c>
      <c r="K419" s="24">
        <v>0.384417776267416</v>
      </c>
      <c r="L419" s="16">
        <v>77.24754</v>
      </c>
      <c r="M419" s="24">
        <v>0.0498332204787294</v>
      </c>
      <c r="N419" s="26">
        <v>4303</v>
      </c>
      <c r="O419" s="27" t="s">
        <v>135</v>
      </c>
      <c r="P419" s="1">
        <v>1</v>
      </c>
      <c r="Q419" s="1">
        <v>0</v>
      </c>
      <c r="R419" s="1">
        <v>0</v>
      </c>
      <c r="S419" s="1">
        <v>0</v>
      </c>
      <c r="T419" s="1">
        <v>2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6</v>
      </c>
      <c r="AF419" s="1">
        <v>53417</v>
      </c>
      <c r="AG419" s="33">
        <f t="shared" si="25"/>
        <v>0.00011232379205122</v>
      </c>
      <c r="AH419" s="1">
        <v>1</v>
      </c>
      <c r="AI419" s="1">
        <v>28</v>
      </c>
      <c r="AJ419" s="1">
        <v>0</v>
      </c>
    </row>
    <row r="420" s="2" customFormat="1" spans="1:36">
      <c r="A420" s="2" t="str">
        <f>VLOOKUP(B420,'[1]2. ISIC行业分类'!$A$2:$B$102,2,FALSE)</f>
        <v>C3091</v>
      </c>
      <c r="B420" s="14" t="s">
        <v>150</v>
      </c>
      <c r="C420" s="15" t="s">
        <v>43</v>
      </c>
      <c r="D420" s="16">
        <v>26.58512</v>
      </c>
      <c r="E420" s="16">
        <v>1705.90843</v>
      </c>
      <c r="F420" s="17">
        <f t="shared" si="24"/>
        <v>0.0155841424618554</v>
      </c>
      <c r="G420" s="16">
        <v>1116.88812</v>
      </c>
      <c r="H420" s="16">
        <v>1811.12333</v>
      </c>
      <c r="I420" s="24">
        <v>0.616682531498283</v>
      </c>
      <c r="J420" s="25">
        <v>691.84603</v>
      </c>
      <c r="K420" s="24">
        <v>0.381998298260561</v>
      </c>
      <c r="L420" s="16">
        <v>61.15475</v>
      </c>
      <c r="M420" s="24">
        <v>0.0337661985724628</v>
      </c>
      <c r="N420" s="26">
        <v>4368</v>
      </c>
      <c r="O420" s="27" t="s">
        <v>135</v>
      </c>
      <c r="P420" s="1">
        <v>1</v>
      </c>
      <c r="Q420" s="1">
        <v>0</v>
      </c>
      <c r="R420" s="1">
        <v>0</v>
      </c>
      <c r="S420" s="1">
        <v>0</v>
      </c>
      <c r="T420" s="1">
        <v>1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4</v>
      </c>
      <c r="AF420" s="1">
        <v>52724</v>
      </c>
      <c r="AG420" s="33">
        <f t="shared" si="25"/>
        <v>7.5866777937941e-5</v>
      </c>
      <c r="AH420" s="1">
        <v>3</v>
      </c>
      <c r="AI420" s="1">
        <v>69</v>
      </c>
      <c r="AJ420" s="1">
        <v>10</v>
      </c>
    </row>
    <row r="421" s="2" customFormat="1" spans="1:36">
      <c r="A421" s="2" t="str">
        <f>VLOOKUP(B421,'[1]2. ISIC行业分类'!$A$2:$B$102,2,FALSE)</f>
        <v>C3091</v>
      </c>
      <c r="B421" s="14" t="s">
        <v>150</v>
      </c>
      <c r="C421" s="15" t="s">
        <v>44</v>
      </c>
      <c r="D421" s="16">
        <v>28.61284</v>
      </c>
      <c r="E421" s="16">
        <v>1872.02691</v>
      </c>
      <c r="F421" s="17">
        <f t="shared" si="24"/>
        <v>0.0152844170386418</v>
      </c>
      <c r="G421" s="16">
        <v>1262.28135</v>
      </c>
      <c r="H421" s="16">
        <v>2062.42691</v>
      </c>
      <c r="I421" s="24">
        <v>0.612036889103624</v>
      </c>
      <c r="J421" s="25">
        <v>865.39083</v>
      </c>
      <c r="K421" s="24">
        <v>0.419598302273897</v>
      </c>
      <c r="L421" s="16">
        <v>42.70459</v>
      </c>
      <c r="M421" s="24">
        <v>0.0207059895276483</v>
      </c>
      <c r="N421" s="26">
        <v>4586</v>
      </c>
      <c r="O421" s="27" t="s">
        <v>135</v>
      </c>
      <c r="P421" s="1">
        <v>2</v>
      </c>
      <c r="Q421" s="1">
        <v>0</v>
      </c>
      <c r="R421" s="1">
        <v>0</v>
      </c>
      <c r="S421" s="1">
        <v>0</v>
      </c>
      <c r="T421" s="1">
        <v>1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6</v>
      </c>
      <c r="AF421" s="1">
        <v>57637</v>
      </c>
      <c r="AG421" s="33">
        <f t="shared" si="25"/>
        <v>0.000104099797005396</v>
      </c>
      <c r="AH421" s="1">
        <v>5</v>
      </c>
      <c r="AI421" s="1">
        <v>113</v>
      </c>
      <c r="AJ421" s="1">
        <v>12</v>
      </c>
    </row>
    <row r="422" s="2" customFormat="1" spans="1:36">
      <c r="A422" s="2" t="str">
        <f>VLOOKUP(B422,'[1]2. ISIC行业分类'!$A$2:$B$102,2,FALSE)</f>
        <v>C3091</v>
      </c>
      <c r="B422" s="14" t="s">
        <v>150</v>
      </c>
      <c r="C422" s="15" t="s">
        <v>45</v>
      </c>
      <c r="D422" s="16">
        <v>37.90515</v>
      </c>
      <c r="E422" s="16">
        <v>2321.99477</v>
      </c>
      <c r="F422" s="17">
        <f t="shared" si="24"/>
        <v>0.0163243907737139</v>
      </c>
      <c r="G422" s="16">
        <v>1442.24724</v>
      </c>
      <c r="H422" s="16">
        <v>2312.88411</v>
      </c>
      <c r="I422" s="24">
        <v>0.623570906023476</v>
      </c>
      <c r="J422" s="25">
        <v>849.31537</v>
      </c>
      <c r="K422" s="24">
        <v>0.367210517088986</v>
      </c>
      <c r="L422" s="16">
        <v>93.87012</v>
      </c>
      <c r="M422" s="24">
        <v>0.0405857429666029</v>
      </c>
      <c r="N422" s="26">
        <v>5249</v>
      </c>
      <c r="O422" s="27" t="s">
        <v>135</v>
      </c>
      <c r="P422" s="1">
        <v>2</v>
      </c>
      <c r="Q422" s="1">
        <v>0</v>
      </c>
      <c r="R422" s="1">
        <v>0</v>
      </c>
      <c r="S422" s="1">
        <v>1</v>
      </c>
      <c r="T422" s="1">
        <v>1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7</v>
      </c>
      <c r="AF422" s="1">
        <v>64183</v>
      </c>
      <c r="AG422" s="33">
        <f t="shared" si="25"/>
        <v>0.000109063147562439</v>
      </c>
      <c r="AH422" s="1">
        <v>1</v>
      </c>
      <c r="AI422" s="1">
        <v>41</v>
      </c>
      <c r="AJ422" s="1">
        <v>2</v>
      </c>
    </row>
    <row r="423" s="2" customFormat="1" spans="1:36">
      <c r="A423" s="2" t="str">
        <f>VLOOKUP(B423,'[1]2. ISIC行业分类'!$A$2:$B$102,2,FALSE)</f>
        <v>C2896</v>
      </c>
      <c r="B423" s="14" t="s">
        <v>151</v>
      </c>
      <c r="C423" s="15" t="s">
        <v>37</v>
      </c>
      <c r="D423" s="16">
        <v>50.6059</v>
      </c>
      <c r="E423" s="16">
        <v>1162.9218</v>
      </c>
      <c r="F423" s="17">
        <f t="shared" si="24"/>
        <v>0.043516167639131</v>
      </c>
      <c r="G423" s="16">
        <v>772.63027</v>
      </c>
      <c r="H423" s="16">
        <v>1217.48409</v>
      </c>
      <c r="I423" s="24">
        <v>0.634612210825687</v>
      </c>
      <c r="J423" s="25">
        <v>779.17371</v>
      </c>
      <c r="K423" s="24">
        <v>0.639986769765509</v>
      </c>
      <c r="L423" s="16">
        <v>53.15294</v>
      </c>
      <c r="M423" s="24">
        <v>0.0436580160977709</v>
      </c>
      <c r="N423" s="26">
        <v>5004</v>
      </c>
      <c r="O423" s="27" t="s">
        <v>152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21939</v>
      </c>
      <c r="AG423" s="33">
        <f t="shared" si="25"/>
        <v>0</v>
      </c>
      <c r="AH423" s="1">
        <v>72</v>
      </c>
      <c r="AI423" s="1">
        <v>1288</v>
      </c>
      <c r="AJ423" s="1">
        <v>378</v>
      </c>
    </row>
    <row r="424" s="2" customFormat="1" spans="1:36">
      <c r="A424" s="2" t="str">
        <f>VLOOKUP(B424,'[1]2. ISIC行业分类'!$A$2:$B$102,2,FALSE)</f>
        <v>C2896</v>
      </c>
      <c r="B424" s="14" t="s">
        <v>151</v>
      </c>
      <c r="C424" s="15" t="s">
        <v>39</v>
      </c>
      <c r="D424" s="16">
        <v>48.464</v>
      </c>
      <c r="E424" s="16">
        <v>1037.94409</v>
      </c>
      <c r="F424" s="17">
        <f t="shared" si="24"/>
        <v>0.0466923030507356</v>
      </c>
      <c r="G424" s="16">
        <v>556.92612</v>
      </c>
      <c r="H424" s="16">
        <v>1000.18977</v>
      </c>
      <c r="I424" s="24">
        <v>0.556820452182789</v>
      </c>
      <c r="J424" s="25">
        <v>741.20314</v>
      </c>
      <c r="K424" s="24">
        <v>0.741062508567749</v>
      </c>
      <c r="L424" s="16">
        <v>49.63994</v>
      </c>
      <c r="M424" s="24">
        <v>0.049630521615913</v>
      </c>
      <c r="N424" s="26">
        <v>5077</v>
      </c>
      <c r="O424" s="27" t="s">
        <v>152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23949</v>
      </c>
      <c r="AG424" s="33">
        <f t="shared" si="25"/>
        <v>0</v>
      </c>
      <c r="AH424" s="1">
        <v>58</v>
      </c>
      <c r="AI424" s="1">
        <v>968</v>
      </c>
      <c r="AJ424" s="1">
        <v>262</v>
      </c>
    </row>
    <row r="425" s="2" customFormat="1" spans="1:36">
      <c r="A425" s="2" t="str">
        <f>VLOOKUP(B425,'[1]2. ISIC行业分类'!$A$2:$B$102,2,FALSE)</f>
        <v>C2896</v>
      </c>
      <c r="B425" s="14" t="s">
        <v>151</v>
      </c>
      <c r="C425" s="15" t="s">
        <v>40</v>
      </c>
      <c r="D425" s="16">
        <v>48.72</v>
      </c>
      <c r="E425" s="16">
        <v>931.10713</v>
      </c>
      <c r="F425" s="17">
        <f t="shared" si="24"/>
        <v>0.0523248060617901</v>
      </c>
      <c r="G425" s="16">
        <v>529.05157</v>
      </c>
      <c r="H425" s="16">
        <v>982.59466</v>
      </c>
      <c r="I425" s="24">
        <v>0.538423005474098</v>
      </c>
      <c r="J425" s="25">
        <v>702.80966</v>
      </c>
      <c r="K425" s="24">
        <v>0.71525898583654</v>
      </c>
      <c r="L425" s="16">
        <v>41.74132</v>
      </c>
      <c r="M425" s="24">
        <v>0.0424807112222653</v>
      </c>
      <c r="N425" s="26">
        <v>5022</v>
      </c>
      <c r="O425" s="27" t="s">
        <v>152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29136</v>
      </c>
      <c r="AG425" s="33">
        <f t="shared" si="25"/>
        <v>0</v>
      </c>
      <c r="AH425" s="1">
        <v>54</v>
      </c>
      <c r="AI425" s="1">
        <v>896</v>
      </c>
      <c r="AJ425" s="1">
        <v>190</v>
      </c>
    </row>
    <row r="426" s="2" customFormat="1" spans="1:36">
      <c r="A426" s="2" t="str">
        <f>VLOOKUP(B426,'[1]2. ISIC行业分类'!$A$2:$B$102,2,FALSE)</f>
        <v>C2896</v>
      </c>
      <c r="B426" s="14" t="s">
        <v>151</v>
      </c>
      <c r="C426" s="15" t="s">
        <v>41</v>
      </c>
      <c r="D426" s="16">
        <v>50.184</v>
      </c>
      <c r="E426" s="16">
        <v>991.52438</v>
      </c>
      <c r="F426" s="17">
        <f t="shared" si="24"/>
        <v>0.050612976354651</v>
      </c>
      <c r="G426" s="16">
        <v>606.11969</v>
      </c>
      <c r="H426" s="16">
        <v>1075.56231</v>
      </c>
      <c r="I426" s="24">
        <v>0.563537495098727</v>
      </c>
      <c r="J426" s="25">
        <v>751.82647</v>
      </c>
      <c r="K426" s="24">
        <v>0.699007824102724</v>
      </c>
      <c r="L426" s="16">
        <v>13.54457</v>
      </c>
      <c r="M426" s="24">
        <v>0.0125930128585484</v>
      </c>
      <c r="N426" s="26">
        <v>5246</v>
      </c>
      <c r="O426" s="27" t="s">
        <v>152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29873</v>
      </c>
      <c r="AG426" s="33">
        <f t="shared" si="25"/>
        <v>0</v>
      </c>
      <c r="AH426" s="1">
        <v>74</v>
      </c>
      <c r="AI426" s="1">
        <v>1079</v>
      </c>
      <c r="AJ426" s="1">
        <v>154</v>
      </c>
    </row>
    <row r="427" s="2" customFormat="1" spans="1:36">
      <c r="A427" s="2" t="str">
        <f>VLOOKUP(B427,'[1]2. ISIC行业分类'!$A$2:$B$102,2,FALSE)</f>
        <v>C2896</v>
      </c>
      <c r="B427" s="14" t="s">
        <v>151</v>
      </c>
      <c r="C427" s="15" t="s">
        <v>42</v>
      </c>
      <c r="D427" s="16">
        <v>52.74605</v>
      </c>
      <c r="E427" s="16">
        <v>1092.72735</v>
      </c>
      <c r="F427" s="17">
        <f t="shared" si="24"/>
        <v>0.0482700922604344</v>
      </c>
      <c r="G427" s="16">
        <v>564.75873</v>
      </c>
      <c r="H427" s="16">
        <v>1018.63897</v>
      </c>
      <c r="I427" s="24">
        <v>0.554424822368616</v>
      </c>
      <c r="J427" s="25">
        <v>709.98821</v>
      </c>
      <c r="K427" s="24">
        <v>0.696996905586677</v>
      </c>
      <c r="L427" s="16">
        <v>32.42002</v>
      </c>
      <c r="M427" s="24">
        <v>0.0318268012071048</v>
      </c>
      <c r="N427" s="26">
        <v>5134</v>
      </c>
      <c r="O427" s="27" t="s">
        <v>152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30763</v>
      </c>
      <c r="AG427" s="33">
        <f t="shared" si="25"/>
        <v>0</v>
      </c>
      <c r="AH427" s="1">
        <v>55</v>
      </c>
      <c r="AI427" s="1">
        <v>875</v>
      </c>
      <c r="AJ427" s="1">
        <v>99</v>
      </c>
    </row>
    <row r="428" s="2" customFormat="1" spans="1:36">
      <c r="A428" s="2" t="str">
        <f>VLOOKUP(B428,'[1]2. ISIC行业分类'!$A$2:$B$102,2,FALSE)</f>
        <v>C2896</v>
      </c>
      <c r="B428" s="14" t="s">
        <v>151</v>
      </c>
      <c r="C428" s="15" t="s">
        <v>43</v>
      </c>
      <c r="D428" s="16">
        <v>54.93087</v>
      </c>
      <c r="E428" s="16">
        <v>784.72674</v>
      </c>
      <c r="F428" s="17">
        <f t="shared" si="24"/>
        <v>0.0699999977062079</v>
      </c>
      <c r="G428" s="16">
        <v>530.10356</v>
      </c>
      <c r="H428" s="16">
        <v>1014.98209</v>
      </c>
      <c r="I428" s="24">
        <v>0.522278733016856</v>
      </c>
      <c r="J428" s="25">
        <v>678.68538</v>
      </c>
      <c r="K428" s="24">
        <v>0.668667345647449</v>
      </c>
      <c r="L428" s="16">
        <v>54.10484</v>
      </c>
      <c r="M428" s="24">
        <v>0.0533062016887411</v>
      </c>
      <c r="N428" s="26">
        <v>4591</v>
      </c>
      <c r="O428" s="27" t="s">
        <v>152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30994</v>
      </c>
      <c r="AG428" s="33">
        <f t="shared" si="25"/>
        <v>0</v>
      </c>
      <c r="AH428" s="1">
        <v>52</v>
      </c>
      <c r="AI428" s="1">
        <v>814</v>
      </c>
      <c r="AJ428" s="1">
        <v>105</v>
      </c>
    </row>
    <row r="429" s="2" customFormat="1" spans="1:36">
      <c r="A429" s="2" t="str">
        <f>VLOOKUP(B429,'[1]2. ISIC行业分类'!$A$2:$B$102,2,FALSE)</f>
        <v>C2896</v>
      </c>
      <c r="B429" s="14" t="s">
        <v>151</v>
      </c>
      <c r="C429" s="15" t="s">
        <v>44</v>
      </c>
      <c r="D429" s="16">
        <v>59.3388</v>
      </c>
      <c r="E429" s="16">
        <v>647.64058</v>
      </c>
      <c r="F429" s="17">
        <f t="shared" si="24"/>
        <v>0.0916230419038906</v>
      </c>
      <c r="G429" s="16">
        <v>692.39898</v>
      </c>
      <c r="H429" s="16">
        <v>1089.00819</v>
      </c>
      <c r="I429" s="24">
        <v>0.635806953848529</v>
      </c>
      <c r="J429" s="25">
        <v>737.38344</v>
      </c>
      <c r="K429" s="24">
        <v>0.677114687264198</v>
      </c>
      <c r="L429" s="16">
        <v>-101.4976</v>
      </c>
      <c r="M429" s="24">
        <v>-0.0932018702265224</v>
      </c>
      <c r="N429" s="26">
        <v>4416</v>
      </c>
      <c r="O429" s="27" t="s">
        <v>152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30530</v>
      </c>
      <c r="AG429" s="33">
        <f t="shared" si="25"/>
        <v>0</v>
      </c>
      <c r="AH429" s="1">
        <v>28</v>
      </c>
      <c r="AI429" s="1">
        <v>433</v>
      </c>
      <c r="AJ429" s="1">
        <v>40</v>
      </c>
    </row>
    <row r="430" s="2" customFormat="1" spans="1:36">
      <c r="A430" s="2" t="str">
        <f>VLOOKUP(B430,'[1]2. ISIC行业分类'!$A$2:$B$102,2,FALSE)</f>
        <v>C2896</v>
      </c>
      <c r="B430" s="14" t="s">
        <v>151</v>
      </c>
      <c r="C430" s="15" t="s">
        <v>45</v>
      </c>
      <c r="D430" s="16">
        <v>64.06248</v>
      </c>
      <c r="E430" s="16">
        <v>1063.17395</v>
      </c>
      <c r="F430" s="17">
        <f t="shared" si="24"/>
        <v>0.0602558781655626</v>
      </c>
      <c r="G430" s="16">
        <v>1141.05813</v>
      </c>
      <c r="H430" s="16">
        <v>1575.56411</v>
      </c>
      <c r="I430" s="24">
        <v>0.724221961364682</v>
      </c>
      <c r="J430" s="25">
        <v>759.97411</v>
      </c>
      <c r="K430" s="24">
        <v>0.482350483345295</v>
      </c>
      <c r="L430" s="16">
        <v>34.77364</v>
      </c>
      <c r="M430" s="24">
        <v>0.0220705966702935</v>
      </c>
      <c r="N430" s="26">
        <v>4907</v>
      </c>
      <c r="O430" s="27" t="s">
        <v>152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32279</v>
      </c>
      <c r="AG430" s="33">
        <f t="shared" si="25"/>
        <v>0</v>
      </c>
      <c r="AH430" s="1">
        <v>22</v>
      </c>
      <c r="AI430" s="1">
        <v>205</v>
      </c>
      <c r="AJ430" s="1">
        <v>5</v>
      </c>
    </row>
    <row r="431" s="2" customFormat="1" spans="1:36">
      <c r="A431" s="2" t="str">
        <f>VLOOKUP(B431,'[1]2. ISIC行业分类'!$A$2:$B$102,2,FALSE)</f>
        <v>C2896</v>
      </c>
      <c r="B431" s="14" t="s">
        <v>151</v>
      </c>
      <c r="C431" s="15" t="s">
        <v>48</v>
      </c>
      <c r="D431" s="16">
        <v>84.24627</v>
      </c>
      <c r="E431" s="16">
        <v>1633.98834</v>
      </c>
      <c r="F431" s="17">
        <f t="shared" si="24"/>
        <v>0.0515586726891821</v>
      </c>
      <c r="G431" s="16">
        <v>1277.10427</v>
      </c>
      <c r="H431" s="16">
        <v>1666.43235</v>
      </c>
      <c r="I431" s="24">
        <v>0.766370306001321</v>
      </c>
      <c r="J431" s="25">
        <v>708.25267</v>
      </c>
      <c r="K431" s="24">
        <v>0.425011354346307</v>
      </c>
      <c r="L431" s="16">
        <v>13.08575</v>
      </c>
      <c r="M431" s="24">
        <v>0.00785255399056553</v>
      </c>
      <c r="N431" s="26">
        <v>5629</v>
      </c>
      <c r="O431" s="27" t="s">
        <v>152</v>
      </c>
      <c r="P431" s="1">
        <v>8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16</v>
      </c>
      <c r="AF431" s="1">
        <v>34571</v>
      </c>
      <c r="AG431" s="33">
        <f t="shared" si="25"/>
        <v>0.000462815654739522</v>
      </c>
      <c r="AH431" s="1">
        <v>30</v>
      </c>
      <c r="AI431" s="1">
        <v>270</v>
      </c>
      <c r="AJ431" s="1">
        <v>2</v>
      </c>
    </row>
    <row r="432" s="2" customFormat="1" spans="1:36">
      <c r="A432" s="2" t="str">
        <f>VLOOKUP(B432,'[1]2. ISIC行业分类'!$A$2:$B$102,2,FALSE)</f>
        <v>C2896</v>
      </c>
      <c r="B432" s="14" t="s">
        <v>151</v>
      </c>
      <c r="C432" s="15" t="s">
        <v>71</v>
      </c>
      <c r="D432" s="16">
        <v>91.2049</v>
      </c>
      <c r="E432" s="16">
        <v>1684.67805</v>
      </c>
      <c r="F432" s="17">
        <f t="shared" si="24"/>
        <v>0.0541378811221527</v>
      </c>
      <c r="G432" s="16">
        <v>1108.35332</v>
      </c>
      <c r="H432" s="16">
        <v>1555.70862</v>
      </c>
      <c r="I432" s="24">
        <v>0.712442745223074</v>
      </c>
      <c r="J432" s="25">
        <v>758.85329</v>
      </c>
      <c r="K432" s="24">
        <v>0.487786260385958</v>
      </c>
      <c r="L432" s="16">
        <v>87.87972</v>
      </c>
      <c r="M432" s="24">
        <v>0.0564885473219272</v>
      </c>
      <c r="N432" s="26">
        <v>5081</v>
      </c>
      <c r="O432" s="27" t="s">
        <v>152</v>
      </c>
      <c r="P432" s="1">
        <v>7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14</v>
      </c>
      <c r="AF432" s="1">
        <v>41629</v>
      </c>
      <c r="AG432" s="33">
        <f t="shared" si="25"/>
        <v>0.000336304018833025</v>
      </c>
      <c r="AH432" s="1">
        <v>2</v>
      </c>
      <c r="AI432" s="1">
        <v>16</v>
      </c>
      <c r="AJ432" s="1">
        <v>0</v>
      </c>
    </row>
    <row r="433" s="2" customFormat="1" spans="1:36">
      <c r="A433" s="2" t="str">
        <f>VLOOKUP(B433,'[1]2. ISIC行业分类'!$A$2:$B$102,2,FALSE)</f>
        <v>C2100</v>
      </c>
      <c r="B433" s="14" t="s">
        <v>153</v>
      </c>
      <c r="C433" s="15" t="s">
        <v>37</v>
      </c>
      <c r="D433" s="16">
        <v>9040.02577</v>
      </c>
      <c r="E433" s="16">
        <v>50199.32349</v>
      </c>
      <c r="F433" s="17">
        <f t="shared" si="24"/>
        <v>0.180082621468013</v>
      </c>
      <c r="G433" s="16">
        <v>54342.83642</v>
      </c>
      <c r="H433" s="16">
        <v>76044.93837</v>
      </c>
      <c r="I433" s="24">
        <v>0.714614773643349</v>
      </c>
      <c r="J433" s="25">
        <v>34566.52169</v>
      </c>
      <c r="K433" s="24">
        <v>0.454553878679144</v>
      </c>
      <c r="L433" s="16">
        <v>9394.37867</v>
      </c>
      <c r="M433" s="24">
        <v>0.123537198811198</v>
      </c>
      <c r="N433" s="26">
        <v>88509</v>
      </c>
      <c r="O433" s="27" t="s">
        <v>119</v>
      </c>
      <c r="P433" s="1">
        <v>0</v>
      </c>
      <c r="Q433" s="1">
        <v>0</v>
      </c>
      <c r="R433" s="1">
        <v>0</v>
      </c>
      <c r="S433" s="1">
        <v>0</v>
      </c>
      <c r="T433" s="1">
        <v>1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2</v>
      </c>
      <c r="AF433" s="1">
        <v>25840</v>
      </c>
      <c r="AG433" s="33">
        <f t="shared" si="25"/>
        <v>7.73993808049536e-5</v>
      </c>
      <c r="AH433" s="1">
        <v>57</v>
      </c>
      <c r="AI433" s="1">
        <v>6273</v>
      </c>
      <c r="AJ433" s="1">
        <v>2537</v>
      </c>
    </row>
    <row r="434" s="2" customFormat="1" spans="1:36">
      <c r="A434" s="2" t="str">
        <f>VLOOKUP(B434,'[1]2. ISIC行业分类'!$A$2:$B$102,2,FALSE)</f>
        <v>C2100</v>
      </c>
      <c r="B434" s="14" t="s">
        <v>153</v>
      </c>
      <c r="C434" s="15" t="s">
        <v>39</v>
      </c>
      <c r="D434" s="16">
        <v>9443.57327</v>
      </c>
      <c r="E434" s="16">
        <v>50342.08606</v>
      </c>
      <c r="F434" s="17">
        <f t="shared" si="24"/>
        <v>0.187588040327624</v>
      </c>
      <c r="G434" s="16">
        <v>52399.59647</v>
      </c>
      <c r="H434" s="16">
        <v>75671.43754</v>
      </c>
      <c r="I434" s="24">
        <v>0.692462019666291</v>
      </c>
      <c r="J434" s="25">
        <v>36150.25818</v>
      </c>
      <c r="K434" s="24">
        <v>0.477726594805219</v>
      </c>
      <c r="L434" s="16">
        <v>8852.28873</v>
      </c>
      <c r="M434" s="24">
        <v>0.116983224024529</v>
      </c>
      <c r="N434" s="26">
        <v>91747</v>
      </c>
      <c r="O434" s="27" t="s">
        <v>119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28337</v>
      </c>
      <c r="AG434" s="33">
        <f t="shared" si="25"/>
        <v>0</v>
      </c>
      <c r="AH434" s="1">
        <v>54</v>
      </c>
      <c r="AI434" s="1">
        <v>2473</v>
      </c>
      <c r="AJ434" s="1">
        <v>1653</v>
      </c>
    </row>
    <row r="435" s="2" customFormat="1" spans="1:36">
      <c r="A435" s="2" t="str">
        <f>VLOOKUP(B435,'[1]2. ISIC行业分类'!$A$2:$B$102,2,FALSE)</f>
        <v>C2100</v>
      </c>
      <c r="B435" s="14" t="s">
        <v>153</v>
      </c>
      <c r="C435" s="15" t="s">
        <v>40</v>
      </c>
      <c r="D435" s="16">
        <v>9893.87466</v>
      </c>
      <c r="E435" s="16">
        <v>51818.30711</v>
      </c>
      <c r="F435" s="17">
        <f t="shared" si="24"/>
        <v>0.190933961601587</v>
      </c>
      <c r="G435" s="16">
        <v>49633.77896</v>
      </c>
      <c r="H435" s="16">
        <v>75625.62759</v>
      </c>
      <c r="I435" s="24">
        <v>0.656308986010492</v>
      </c>
      <c r="J435" s="25">
        <v>38535.90344</v>
      </c>
      <c r="K435" s="24">
        <v>0.509561436619345</v>
      </c>
      <c r="L435" s="16">
        <v>9427.23818</v>
      </c>
      <c r="M435" s="24">
        <v>0.124656660452581</v>
      </c>
      <c r="N435" s="26">
        <v>94052</v>
      </c>
      <c r="O435" s="27" t="s">
        <v>119</v>
      </c>
      <c r="P435" s="1">
        <v>1</v>
      </c>
      <c r="Q435" s="1">
        <v>0</v>
      </c>
      <c r="R435" s="1">
        <v>0</v>
      </c>
      <c r="S435" s="1">
        <v>0</v>
      </c>
      <c r="T435" s="1">
        <v>1</v>
      </c>
      <c r="U435" s="1">
        <v>0</v>
      </c>
      <c r="V435" s="1">
        <v>0</v>
      </c>
      <c r="W435" s="1">
        <v>1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6</v>
      </c>
      <c r="AF435" s="1">
        <v>33534</v>
      </c>
      <c r="AG435" s="33">
        <f t="shared" si="25"/>
        <v>0.000178922884236894</v>
      </c>
      <c r="AH435" s="1">
        <v>44</v>
      </c>
      <c r="AI435" s="1">
        <v>2051</v>
      </c>
      <c r="AJ435" s="1">
        <v>532</v>
      </c>
    </row>
    <row r="436" s="2" customFormat="1" spans="1:36">
      <c r="A436" s="2" t="str">
        <f>VLOOKUP(B436,'[1]2. ISIC行业分类'!$A$2:$B$102,2,FALSE)</f>
        <v>C2100</v>
      </c>
      <c r="B436" s="14" t="s">
        <v>153</v>
      </c>
      <c r="C436" s="15" t="s">
        <v>41</v>
      </c>
      <c r="D436" s="16">
        <v>10803.84994</v>
      </c>
      <c r="E436" s="16">
        <v>57201.19849</v>
      </c>
      <c r="F436" s="17">
        <f t="shared" si="24"/>
        <v>0.188874538037673</v>
      </c>
      <c r="G436" s="16">
        <v>48913.35577</v>
      </c>
      <c r="H436" s="16">
        <v>78677.55705</v>
      </c>
      <c r="I436" s="24">
        <v>0.621693880745627</v>
      </c>
      <c r="J436" s="25">
        <v>41053.39846</v>
      </c>
      <c r="K436" s="24">
        <v>0.521792999163794</v>
      </c>
      <c r="L436" s="16">
        <v>8858.35659</v>
      </c>
      <c r="M436" s="24">
        <v>0.112590641119811</v>
      </c>
      <c r="N436" s="26">
        <v>93734</v>
      </c>
      <c r="O436" s="27" t="s">
        <v>119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1</v>
      </c>
      <c r="V436" s="1">
        <v>0</v>
      </c>
      <c r="W436" s="1">
        <v>0</v>
      </c>
      <c r="X436" s="1">
        <v>2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6</v>
      </c>
      <c r="AF436" s="1">
        <v>30019</v>
      </c>
      <c r="AG436" s="33">
        <f t="shared" si="25"/>
        <v>0.00019987341350478</v>
      </c>
      <c r="AH436" s="1">
        <v>25</v>
      </c>
      <c r="AI436" s="1">
        <v>609</v>
      </c>
      <c r="AJ436" s="1">
        <v>170</v>
      </c>
    </row>
    <row r="437" s="2" customFormat="1" spans="1:36">
      <c r="A437" s="2" t="str">
        <f>VLOOKUP(B437,'[1]2. ISIC行业分类'!$A$2:$B$102,2,FALSE)</f>
        <v>C2100</v>
      </c>
      <c r="B437" s="14" t="s">
        <v>153</v>
      </c>
      <c r="C437" s="15" t="s">
        <v>42</v>
      </c>
      <c r="D437" s="16">
        <v>11376.47872</v>
      </c>
      <c r="E437" s="16">
        <v>60466.88892</v>
      </c>
      <c r="F437" s="17">
        <f t="shared" si="24"/>
        <v>0.18814393998427</v>
      </c>
      <c r="G437" s="16">
        <v>48935.93237</v>
      </c>
      <c r="H437" s="16">
        <v>79796.94299</v>
      </c>
      <c r="I437" s="24">
        <v>0.613255728056306</v>
      </c>
      <c r="J437" s="25">
        <v>42503.76033</v>
      </c>
      <c r="K437" s="24">
        <v>0.532648980491978</v>
      </c>
      <c r="L437" s="16">
        <v>10671.1655</v>
      </c>
      <c r="M437" s="24">
        <v>0.133729001389656</v>
      </c>
      <c r="N437" s="26">
        <v>94442</v>
      </c>
      <c r="O437" s="27" t="s">
        <v>119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2</v>
      </c>
      <c r="V437" s="1">
        <v>0</v>
      </c>
      <c r="W437" s="1">
        <v>0</v>
      </c>
      <c r="X437" s="1">
        <v>2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8</v>
      </c>
      <c r="AF437" s="1">
        <v>36294</v>
      </c>
      <c r="AG437" s="33">
        <f t="shared" si="25"/>
        <v>0.000220422108337466</v>
      </c>
      <c r="AH437" s="1">
        <v>15</v>
      </c>
      <c r="AI437" s="1">
        <v>477</v>
      </c>
      <c r="AJ437" s="1">
        <v>173</v>
      </c>
    </row>
    <row r="438" s="2" customFormat="1" spans="1:36">
      <c r="A438" s="2" t="str">
        <f>VLOOKUP(B438,'[1]2. ISIC行业分类'!$A$2:$B$102,2,FALSE)</f>
        <v>C2100</v>
      </c>
      <c r="B438" s="14" t="s">
        <v>153</v>
      </c>
      <c r="C438" s="15" t="s">
        <v>43</v>
      </c>
      <c r="D438" s="16">
        <v>12310.917</v>
      </c>
      <c r="E438" s="16">
        <v>65825.15052</v>
      </c>
      <c r="F438" s="17">
        <f t="shared" si="24"/>
        <v>0.187024517266535</v>
      </c>
      <c r="G438" s="16">
        <v>48760.44153</v>
      </c>
      <c r="H438" s="16">
        <v>85794.38097</v>
      </c>
      <c r="I438" s="24">
        <v>0.568340734890904</v>
      </c>
      <c r="J438" s="25">
        <v>46506.41722</v>
      </c>
      <c r="K438" s="24">
        <v>0.542068334711361</v>
      </c>
      <c r="L438" s="16">
        <v>13936.12738</v>
      </c>
      <c r="M438" s="24">
        <v>0.162436364974451</v>
      </c>
      <c r="N438" s="26">
        <v>97735</v>
      </c>
      <c r="O438" s="27" t="s">
        <v>119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1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2</v>
      </c>
      <c r="AF438" s="1">
        <v>37381</v>
      </c>
      <c r="AG438" s="33">
        <f t="shared" si="25"/>
        <v>5.35031165565394e-5</v>
      </c>
      <c r="AH438" s="1">
        <v>11</v>
      </c>
      <c r="AI438" s="1">
        <v>249</v>
      </c>
      <c r="AJ438" s="1">
        <v>32</v>
      </c>
    </row>
    <row r="439" s="2" customFormat="1" spans="1:36">
      <c r="A439" s="2" t="str">
        <f>VLOOKUP(B439,'[1]2. ISIC行业分类'!$A$2:$B$102,2,FALSE)</f>
        <v>C2100</v>
      </c>
      <c r="B439" s="14" t="s">
        <v>153</v>
      </c>
      <c r="C439" s="15" t="s">
        <v>44</v>
      </c>
      <c r="D439" s="16">
        <v>14202.88217</v>
      </c>
      <c r="E439" s="16">
        <v>68203.4473</v>
      </c>
      <c r="F439" s="17">
        <f t="shared" si="24"/>
        <v>0.208242878215923</v>
      </c>
      <c r="G439" s="16">
        <v>52404.63407</v>
      </c>
      <c r="H439" s="16">
        <v>97358.57586</v>
      </c>
      <c r="I439" s="24">
        <v>0.538264180706145</v>
      </c>
      <c r="J439" s="25">
        <v>51612.31986</v>
      </c>
      <c r="K439" s="24">
        <v>0.530126076764081</v>
      </c>
      <c r="L439" s="16">
        <v>16157.10653</v>
      </c>
      <c r="M439" s="24">
        <v>0.165954630984266</v>
      </c>
      <c r="N439" s="26">
        <v>101465</v>
      </c>
      <c r="O439" s="27" t="s">
        <v>119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39472</v>
      </c>
      <c r="AG439" s="33">
        <f t="shared" si="25"/>
        <v>0</v>
      </c>
      <c r="AH439" s="1">
        <v>1</v>
      </c>
      <c r="AI439" s="1">
        <v>35</v>
      </c>
      <c r="AJ439" s="1">
        <v>3</v>
      </c>
    </row>
    <row r="440" s="2" customFormat="1" spans="1:36">
      <c r="A440" s="2" t="str">
        <f>VLOOKUP(B440,'[1]2. ISIC行业分类'!$A$2:$B$102,2,FALSE)</f>
        <v>C2100</v>
      </c>
      <c r="B440" s="14" t="s">
        <v>153</v>
      </c>
      <c r="C440" s="15" t="s">
        <v>45</v>
      </c>
      <c r="D440" s="16">
        <v>15381.57765</v>
      </c>
      <c r="E440" s="16">
        <v>72234.83727</v>
      </c>
      <c r="F440" s="17">
        <f t="shared" si="24"/>
        <v>0.212938496594193</v>
      </c>
      <c r="G440" s="16">
        <v>70174.74578</v>
      </c>
      <c r="H440" s="16">
        <v>101268.08614</v>
      </c>
      <c r="I440" s="24">
        <v>0.692960126480376</v>
      </c>
      <c r="J440" s="25">
        <v>52878.97237</v>
      </c>
      <c r="K440" s="24">
        <v>0.522168181364625</v>
      </c>
      <c r="L440" s="16">
        <v>15280.6573</v>
      </c>
      <c r="M440" s="24">
        <v>0.150893118280867</v>
      </c>
      <c r="N440" s="26">
        <v>100920</v>
      </c>
      <c r="O440" s="27" t="s">
        <v>119</v>
      </c>
      <c r="P440" s="1">
        <v>5</v>
      </c>
      <c r="Q440" s="1">
        <v>3</v>
      </c>
      <c r="R440" s="1">
        <v>0</v>
      </c>
      <c r="S440" s="1">
        <v>12</v>
      </c>
      <c r="T440" s="1">
        <v>0</v>
      </c>
      <c r="U440" s="1">
        <v>3</v>
      </c>
      <c r="V440" s="1">
        <v>3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40</v>
      </c>
      <c r="AF440" s="1">
        <v>34354</v>
      </c>
      <c r="AG440" s="33">
        <f t="shared" si="25"/>
        <v>0.00116434767421552</v>
      </c>
      <c r="AH440" s="1">
        <v>1</v>
      </c>
      <c r="AI440" s="1">
        <v>3</v>
      </c>
      <c r="AJ440" s="1">
        <v>1</v>
      </c>
    </row>
    <row r="441" s="2" customFormat="1" spans="1:15">
      <c r="A441" s="2" t="str">
        <f>VLOOKUP(B441,'[1]2. ISIC行业分类'!$A$2:$B$102,2,FALSE)</f>
        <v>C2100</v>
      </c>
      <c r="B441" s="14" t="s">
        <v>154</v>
      </c>
      <c r="C441" s="15" t="s">
        <v>44</v>
      </c>
      <c r="D441" s="16">
        <v>873</v>
      </c>
      <c r="E441" s="16">
        <v>9658</v>
      </c>
      <c r="F441" s="17">
        <f t="shared" si="24"/>
        <v>0.0903913853799959</v>
      </c>
      <c r="G441" s="16">
        <v>10223</v>
      </c>
      <c r="H441" s="16">
        <v>17946</v>
      </c>
      <c r="I441" s="24">
        <v>0.56965340465842</v>
      </c>
      <c r="J441" s="25">
        <v>5820</v>
      </c>
      <c r="K441" s="24">
        <v>0.324306252089602</v>
      </c>
      <c r="L441" s="16">
        <v>462</v>
      </c>
      <c r="M441" s="24">
        <v>0.0257438983617519</v>
      </c>
      <c r="N441" s="26">
        <v>0</v>
      </c>
      <c r="O441" s="27" t="s">
        <v>79</v>
      </c>
    </row>
    <row r="442" s="2" customFormat="1" spans="1:15">
      <c r="A442" s="2" t="str">
        <f>VLOOKUP(B442,'[1]2. ISIC行业分类'!$A$2:$B$102,2,FALSE)</f>
        <v>C2100</v>
      </c>
      <c r="B442" s="14" t="s">
        <v>154</v>
      </c>
      <c r="C442" s="15" t="s">
        <v>45</v>
      </c>
      <c r="D442" s="16">
        <v>911</v>
      </c>
      <c r="E442" s="16">
        <v>9678</v>
      </c>
      <c r="F442" s="17">
        <f t="shared" si="24"/>
        <v>0.0941310188055383</v>
      </c>
      <c r="G442" s="16">
        <v>9379</v>
      </c>
      <c r="H442" s="16">
        <v>17542</v>
      </c>
      <c r="I442" s="24">
        <v>0.534659673925436</v>
      </c>
      <c r="J442" s="25">
        <v>5245</v>
      </c>
      <c r="K442" s="24">
        <v>0.298996693649527</v>
      </c>
      <c r="L442" s="16">
        <v>908</v>
      </c>
      <c r="M442" s="24">
        <v>0.0517614867175921</v>
      </c>
      <c r="N442" s="26">
        <v>0</v>
      </c>
      <c r="O442" s="27" t="s">
        <v>79</v>
      </c>
    </row>
    <row r="443" s="2" customFormat="1" spans="1:36">
      <c r="A443" s="2" t="str">
        <f>VLOOKUP(B443,'[1]2. ISIC行业分类'!$A$2:$B$102,2,FALSE)</f>
        <v>C2822</v>
      </c>
      <c r="B443" s="14" t="s">
        <v>155</v>
      </c>
      <c r="C443" s="15" t="s">
        <v>39</v>
      </c>
      <c r="D443" s="16">
        <v>6.60088</v>
      </c>
      <c r="E443" s="16">
        <v>83.11144</v>
      </c>
      <c r="F443" s="17">
        <f t="shared" si="24"/>
        <v>0.0794220386507562</v>
      </c>
      <c r="G443" s="16">
        <v>27.46677</v>
      </c>
      <c r="H443" s="16">
        <v>49.03567</v>
      </c>
      <c r="I443" s="24">
        <v>0.560138568515532</v>
      </c>
      <c r="J443" s="25">
        <v>27.39086</v>
      </c>
      <c r="K443" s="24">
        <v>0.558590511764191</v>
      </c>
      <c r="L443" s="16">
        <v>-6.8617</v>
      </c>
      <c r="M443" s="24">
        <v>-0.139932828489954</v>
      </c>
      <c r="N443" s="26">
        <v>310</v>
      </c>
      <c r="O443" s="27" t="s">
        <v>156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18292</v>
      </c>
      <c r="AG443" s="33">
        <f t="shared" ref="AG443:AG451" si="26">AE443/AF443</f>
        <v>0</v>
      </c>
      <c r="AH443" s="1">
        <v>4</v>
      </c>
      <c r="AI443" s="1">
        <v>20</v>
      </c>
      <c r="AJ443" s="1">
        <v>0</v>
      </c>
    </row>
    <row r="444" s="2" customFormat="1" spans="1:36">
      <c r="A444" s="2" t="str">
        <f>VLOOKUP(B444,'[1]2. ISIC行业分类'!$A$2:$B$102,2,FALSE)</f>
        <v>C2822</v>
      </c>
      <c r="B444" s="14" t="s">
        <v>155</v>
      </c>
      <c r="C444" s="15" t="s">
        <v>40</v>
      </c>
      <c r="D444" s="16">
        <v>5.465775</v>
      </c>
      <c r="E444" s="16">
        <v>89.08031</v>
      </c>
      <c r="F444" s="17">
        <f t="shared" si="24"/>
        <v>0.0613578354183994</v>
      </c>
      <c r="G444" s="16">
        <v>32.61435</v>
      </c>
      <c r="H444" s="16">
        <v>54.54823</v>
      </c>
      <c r="I444" s="24">
        <v>0.59789932688925</v>
      </c>
      <c r="J444" s="25">
        <v>27.08854</v>
      </c>
      <c r="K444" s="24">
        <v>0.496597964773559</v>
      </c>
      <c r="L444" s="16">
        <v>0.49814</v>
      </c>
      <c r="M444" s="24">
        <v>0.00913210199487683</v>
      </c>
      <c r="N444" s="26">
        <v>319</v>
      </c>
      <c r="O444" s="27" t="s">
        <v>156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20382</v>
      </c>
      <c r="AG444" s="33">
        <f t="shared" si="26"/>
        <v>0</v>
      </c>
      <c r="AH444" s="1">
        <v>2</v>
      </c>
      <c r="AI444" s="1">
        <v>11</v>
      </c>
      <c r="AJ444" s="1">
        <v>1</v>
      </c>
    </row>
    <row r="445" s="2" customFormat="1" spans="1:36">
      <c r="A445" s="2" t="str">
        <f>VLOOKUP(B445,'[1]2. ISIC行业分类'!$A$2:$B$102,2,FALSE)</f>
        <v>C2822</v>
      </c>
      <c r="B445" s="14" t="s">
        <v>155</v>
      </c>
      <c r="C445" s="15" t="s">
        <v>41</v>
      </c>
      <c r="D445" s="16">
        <v>5.19996</v>
      </c>
      <c r="E445" s="16">
        <v>103.75452</v>
      </c>
      <c r="F445" s="17">
        <f t="shared" si="24"/>
        <v>0.050117912935263</v>
      </c>
      <c r="G445" s="16">
        <v>31.46343</v>
      </c>
      <c r="H445" s="16">
        <v>57.56547</v>
      </c>
      <c r="I445" s="24">
        <v>0.546567760152049</v>
      </c>
      <c r="J445" s="25">
        <v>30.15002</v>
      </c>
      <c r="K445" s="24">
        <v>0.523751825530131</v>
      </c>
      <c r="L445" s="16">
        <v>2.95108</v>
      </c>
      <c r="M445" s="24">
        <v>0.051264759933342</v>
      </c>
      <c r="N445" s="26">
        <v>345</v>
      </c>
      <c r="O445" s="27" t="s">
        <v>156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16340</v>
      </c>
      <c r="AG445" s="33">
        <f t="shared" si="26"/>
        <v>0</v>
      </c>
      <c r="AH445" s="1">
        <v>1</v>
      </c>
      <c r="AI445" s="1">
        <v>4</v>
      </c>
      <c r="AJ445" s="1">
        <v>9</v>
      </c>
    </row>
    <row r="446" s="2" customFormat="1" spans="1:36">
      <c r="A446" s="2" t="str">
        <f>VLOOKUP(B446,'[1]2. ISIC行业分类'!$A$2:$B$102,2,FALSE)</f>
        <v>C2229</v>
      </c>
      <c r="B446" s="14" t="s">
        <v>157</v>
      </c>
      <c r="C446" s="15" t="s">
        <v>40</v>
      </c>
      <c r="D446" s="16">
        <v>0</v>
      </c>
      <c r="E446" s="16">
        <v>903.19951</v>
      </c>
      <c r="F446" s="17">
        <f t="shared" si="24"/>
        <v>0</v>
      </c>
      <c r="G446" s="16">
        <v>279.99665</v>
      </c>
      <c r="H446" s="16">
        <v>929.07224</v>
      </c>
      <c r="I446" s="24">
        <v>0.301372313093759</v>
      </c>
      <c r="J446" s="25">
        <v>514.95698</v>
      </c>
      <c r="K446" s="24">
        <v>0.554270117897398</v>
      </c>
      <c r="L446" s="16">
        <v>69.53868</v>
      </c>
      <c r="M446" s="24">
        <v>0.0748474413571974</v>
      </c>
      <c r="N446" s="26">
        <v>4332</v>
      </c>
      <c r="O446" s="27" t="s">
        <v>75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33" t="e">
        <f t="shared" si="26"/>
        <v>#DIV/0!</v>
      </c>
      <c r="AH446" s="1">
        <v>3</v>
      </c>
      <c r="AI446" s="1">
        <v>32</v>
      </c>
      <c r="AJ446" s="1">
        <v>5</v>
      </c>
    </row>
    <row r="447" s="2" customFormat="1" spans="1:36">
      <c r="A447" s="2" t="str">
        <f>VLOOKUP(B447,'[1]2. ISIC行业分类'!$A$2:$B$102,2,FALSE)</f>
        <v>C2229</v>
      </c>
      <c r="B447" s="18" t="s">
        <v>157</v>
      </c>
      <c r="C447" s="19">
        <v>2017</v>
      </c>
      <c r="D447" s="20">
        <v>0</v>
      </c>
      <c r="E447" s="20">
        <v>1005.81596</v>
      </c>
      <c r="F447" s="17">
        <f t="shared" si="24"/>
        <v>0</v>
      </c>
      <c r="G447" s="20">
        <v>277.04092</v>
      </c>
      <c r="H447" s="20">
        <v>1078.44155</v>
      </c>
      <c r="I447" s="28">
        <v>0.25689006511294</v>
      </c>
      <c r="J447" s="29">
        <v>572.50862</v>
      </c>
      <c r="K447" s="28">
        <v>0.530866619521475</v>
      </c>
      <c r="L447" s="20">
        <v>176.43962</v>
      </c>
      <c r="M447" s="28">
        <v>0.163606103640944</v>
      </c>
      <c r="N447" s="30">
        <v>3786</v>
      </c>
      <c r="O447" s="31" t="s">
        <v>75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26728</v>
      </c>
      <c r="AG447" s="33">
        <f t="shared" si="26"/>
        <v>0</v>
      </c>
      <c r="AH447" s="2">
        <v>0</v>
      </c>
      <c r="AI447" s="2">
        <v>0</v>
      </c>
      <c r="AJ447" s="2">
        <v>0</v>
      </c>
    </row>
    <row r="448" s="2" customFormat="1" spans="1:36">
      <c r="A448" s="2" t="str">
        <f>VLOOKUP(B448,'[1]2. ISIC行业分类'!$A$2:$B$102,2,FALSE)</f>
        <v>C2229</v>
      </c>
      <c r="B448" s="18" t="s">
        <v>157</v>
      </c>
      <c r="C448" s="19">
        <v>2018</v>
      </c>
      <c r="D448" s="20">
        <v>0</v>
      </c>
      <c r="E448" s="20">
        <v>1064.464</v>
      </c>
      <c r="F448" s="17">
        <f t="shared" si="24"/>
        <v>0</v>
      </c>
      <c r="G448" s="20">
        <v>289.57986</v>
      </c>
      <c r="H448" s="20">
        <v>1053.71763</v>
      </c>
      <c r="I448" s="28">
        <v>0.274817324637531</v>
      </c>
      <c r="J448" s="29">
        <v>594.04956</v>
      </c>
      <c r="K448" s="28">
        <v>0.563765417875755</v>
      </c>
      <c r="L448" s="20">
        <v>61.25147</v>
      </c>
      <c r="M448" s="28">
        <v>0.0581289220718458</v>
      </c>
      <c r="N448" s="30">
        <v>3947</v>
      </c>
      <c r="O448" s="31" t="s">
        <v>75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27265</v>
      </c>
      <c r="AG448" s="33">
        <f t="shared" si="26"/>
        <v>0</v>
      </c>
      <c r="AH448" s="2">
        <v>0</v>
      </c>
      <c r="AI448" s="2">
        <v>0</v>
      </c>
      <c r="AJ448" s="2">
        <v>0</v>
      </c>
    </row>
    <row r="449" s="2" customFormat="1" spans="1:36">
      <c r="A449" s="2" t="str">
        <f>VLOOKUP(B449,'[1]2. ISIC行业分类'!$A$2:$B$102,2,FALSE)</f>
        <v>C2229</v>
      </c>
      <c r="B449" s="14" t="s">
        <v>157</v>
      </c>
      <c r="C449" s="15" t="s">
        <v>43</v>
      </c>
      <c r="D449" s="16">
        <v>0</v>
      </c>
      <c r="E449" s="16">
        <v>1217.98057</v>
      </c>
      <c r="F449" s="17">
        <f t="shared" si="24"/>
        <v>0</v>
      </c>
      <c r="G449" s="16">
        <v>334.59509</v>
      </c>
      <c r="H449" s="16">
        <v>1086.35505</v>
      </c>
      <c r="I449" s="24">
        <v>0.307997914678079</v>
      </c>
      <c r="J449" s="25">
        <v>653.16627</v>
      </c>
      <c r="K449" s="24">
        <v>0.601245670096531</v>
      </c>
      <c r="L449" s="16">
        <v>61.93249</v>
      </c>
      <c r="M449" s="24">
        <v>0.0570094372001124</v>
      </c>
      <c r="N449" s="26">
        <v>4185</v>
      </c>
      <c r="O449" s="27" t="s">
        <v>75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28018</v>
      </c>
      <c r="AG449" s="33">
        <f t="shared" si="26"/>
        <v>0</v>
      </c>
      <c r="AH449" s="1">
        <v>1</v>
      </c>
      <c r="AI449" s="1">
        <v>53</v>
      </c>
      <c r="AJ449" s="1">
        <v>3</v>
      </c>
    </row>
    <row r="450" s="2" customFormat="1" spans="1:36">
      <c r="A450" s="2" t="str">
        <f>VLOOKUP(B450,'[1]2. ISIC行业分类'!$A$2:$B$102,2,FALSE)</f>
        <v>C2229</v>
      </c>
      <c r="B450" s="14" t="s">
        <v>157</v>
      </c>
      <c r="C450" s="15" t="s">
        <v>44</v>
      </c>
      <c r="D450" s="16">
        <v>0</v>
      </c>
      <c r="E450" s="16">
        <v>1311.33088</v>
      </c>
      <c r="F450" s="17">
        <f t="shared" ref="F450:F513" si="27">D450/E450</f>
        <v>0</v>
      </c>
      <c r="G450" s="16">
        <v>406.10342</v>
      </c>
      <c r="H450" s="16">
        <v>1240.23736</v>
      </c>
      <c r="I450" s="24">
        <v>0.327440079695712</v>
      </c>
      <c r="J450" s="25">
        <v>732.86239</v>
      </c>
      <c r="K450" s="24">
        <v>0.590904945808115</v>
      </c>
      <c r="L450" s="16">
        <v>116.9822</v>
      </c>
      <c r="M450" s="24">
        <v>0.0943224287325129</v>
      </c>
      <c r="N450" s="26">
        <v>4364</v>
      </c>
      <c r="O450" s="27" t="s">
        <v>75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29821</v>
      </c>
      <c r="AG450" s="33">
        <f t="shared" si="26"/>
        <v>0</v>
      </c>
      <c r="AH450" s="1">
        <v>1</v>
      </c>
      <c r="AI450" s="1">
        <v>7</v>
      </c>
      <c r="AJ450" s="1">
        <v>0</v>
      </c>
    </row>
    <row r="451" s="2" customFormat="1" spans="1:36">
      <c r="A451" s="2" t="str">
        <f>VLOOKUP(B451,'[1]2. ISIC行业分类'!$A$2:$B$102,2,FALSE)</f>
        <v>C2229</v>
      </c>
      <c r="B451" s="14" t="s">
        <v>157</v>
      </c>
      <c r="C451" s="15" t="s">
        <v>45</v>
      </c>
      <c r="D451" s="16">
        <v>0</v>
      </c>
      <c r="E451" s="16">
        <v>1345.86062</v>
      </c>
      <c r="F451" s="17">
        <f t="shared" si="27"/>
        <v>0</v>
      </c>
      <c r="G451" s="16">
        <v>402.03596</v>
      </c>
      <c r="H451" s="16">
        <v>1253.93535</v>
      </c>
      <c r="I451" s="24">
        <v>0.320619368454681</v>
      </c>
      <c r="J451" s="25">
        <v>767.98192</v>
      </c>
      <c r="K451" s="24">
        <v>0.612457348777989</v>
      </c>
      <c r="L451" s="16">
        <v>92.58345</v>
      </c>
      <c r="M451" s="24">
        <v>0.0738343089219073</v>
      </c>
      <c r="N451" s="26">
        <v>4443</v>
      </c>
      <c r="O451" s="27" t="s">
        <v>75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36812</v>
      </c>
      <c r="AG451" s="33">
        <f t="shared" si="26"/>
        <v>0</v>
      </c>
      <c r="AH451" s="1">
        <v>1</v>
      </c>
      <c r="AI451" s="1">
        <v>4</v>
      </c>
      <c r="AJ451" s="1">
        <v>1</v>
      </c>
    </row>
    <row r="452" s="2" customFormat="1" spans="1:36">
      <c r="A452" s="2" t="str">
        <f>VLOOKUP(B452,'[1]2. ISIC行业分类'!$A$2:$B$102,2,FALSE)</f>
        <v>C2651</v>
      </c>
      <c r="B452" s="14" t="s">
        <v>158</v>
      </c>
      <c r="C452" s="15" t="s">
        <v>41</v>
      </c>
      <c r="D452" s="16">
        <v>34.82084</v>
      </c>
      <c r="E452" s="16">
        <v>151.86648</v>
      </c>
      <c r="F452" s="17">
        <f t="shared" si="27"/>
        <v>0.229285883231112</v>
      </c>
      <c r="G452" s="16">
        <v>118.09022</v>
      </c>
      <c r="H452" s="16">
        <v>180.65178</v>
      </c>
      <c r="I452" s="24">
        <v>0.653689767130996</v>
      </c>
      <c r="J452" s="25">
        <v>147.69332</v>
      </c>
      <c r="K452" s="24">
        <v>0.817558066684978</v>
      </c>
      <c r="L452" s="16">
        <v>-0.786</v>
      </c>
      <c r="M452" s="24">
        <v>-0.00435091201426302</v>
      </c>
      <c r="N452" s="26">
        <v>0</v>
      </c>
      <c r="O452" s="27" t="s">
        <v>159</v>
      </c>
      <c r="AH452" s="1">
        <v>14</v>
      </c>
      <c r="AI452" s="1">
        <v>314</v>
      </c>
      <c r="AJ452" s="1">
        <v>83</v>
      </c>
    </row>
    <row r="453" s="2" customFormat="1" spans="1:36">
      <c r="A453" s="2" t="str">
        <f>VLOOKUP(B453,'[1]2. ISIC行业分类'!$A$2:$B$102,2,FALSE)</f>
        <v>C2651</v>
      </c>
      <c r="B453" s="14" t="s">
        <v>158</v>
      </c>
      <c r="C453" s="15" t="s">
        <v>42</v>
      </c>
      <c r="D453" s="16">
        <v>36.88158</v>
      </c>
      <c r="E453" s="16">
        <v>177.65966</v>
      </c>
      <c r="F453" s="17">
        <f t="shared" si="27"/>
        <v>0.207596817420454</v>
      </c>
      <c r="G453" s="16">
        <v>55.37014</v>
      </c>
      <c r="H453" s="16">
        <v>218.41843</v>
      </c>
      <c r="I453" s="24">
        <v>0.253504889674374</v>
      </c>
      <c r="J453" s="25">
        <v>153.02248</v>
      </c>
      <c r="K453" s="24">
        <v>0.700593260376425</v>
      </c>
      <c r="L453" s="16">
        <v>-6.49112</v>
      </c>
      <c r="M453" s="24">
        <v>-0.0297187375625766</v>
      </c>
      <c r="N453" s="26">
        <v>783</v>
      </c>
      <c r="O453" s="27" t="s">
        <v>159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34223</v>
      </c>
      <c r="AG453" s="33">
        <f t="shared" ref="AG453:AG469" si="28">AE453/AF453</f>
        <v>0</v>
      </c>
      <c r="AH453" s="1">
        <v>12</v>
      </c>
      <c r="AI453" s="1">
        <v>284</v>
      </c>
      <c r="AJ453" s="1">
        <v>136</v>
      </c>
    </row>
    <row r="454" s="2" customFormat="1" spans="1:36">
      <c r="A454" s="2" t="str">
        <f>VLOOKUP(B454,'[1]2. ISIC行业分类'!$A$2:$B$102,2,FALSE)</f>
        <v>C2651</v>
      </c>
      <c r="B454" s="14" t="s">
        <v>158</v>
      </c>
      <c r="C454" s="15" t="s">
        <v>43</v>
      </c>
      <c r="D454" s="16">
        <v>42.88119</v>
      </c>
      <c r="E454" s="16">
        <v>176.52222</v>
      </c>
      <c r="F454" s="17">
        <f t="shared" si="27"/>
        <v>0.242922335782997</v>
      </c>
      <c r="G454" s="16">
        <v>61.18597</v>
      </c>
      <c r="H454" s="16">
        <v>222.50824</v>
      </c>
      <c r="I454" s="24">
        <v>0.274982939957639</v>
      </c>
      <c r="J454" s="25">
        <v>163.44722</v>
      </c>
      <c r="K454" s="24">
        <v>0.734567043449717</v>
      </c>
      <c r="L454" s="16">
        <v>-2.83534</v>
      </c>
      <c r="M454" s="24">
        <v>-0.0127426292167877</v>
      </c>
      <c r="N454" s="26">
        <v>796</v>
      </c>
      <c r="O454" s="27" t="s">
        <v>159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32896</v>
      </c>
      <c r="AG454" s="33">
        <f t="shared" si="28"/>
        <v>0</v>
      </c>
      <c r="AH454" s="1">
        <v>10</v>
      </c>
      <c r="AI454" s="1">
        <v>160</v>
      </c>
      <c r="AJ454" s="1">
        <v>40</v>
      </c>
    </row>
    <row r="455" s="2" customFormat="1" spans="1:36">
      <c r="A455" s="2" t="str">
        <f>VLOOKUP(B455,'[1]2. ISIC行业分类'!$A$2:$B$102,2,FALSE)</f>
        <v>C2651</v>
      </c>
      <c r="B455" s="14" t="s">
        <v>158</v>
      </c>
      <c r="C455" s="15" t="s">
        <v>44</v>
      </c>
      <c r="D455" s="16">
        <v>51.62588</v>
      </c>
      <c r="E455" s="16">
        <v>286.70133</v>
      </c>
      <c r="F455" s="17">
        <f t="shared" si="27"/>
        <v>0.180068505437348</v>
      </c>
      <c r="G455" s="16">
        <v>48.72224</v>
      </c>
      <c r="H455" s="16">
        <v>290.90252</v>
      </c>
      <c r="I455" s="24">
        <v>0.167486483100937</v>
      </c>
      <c r="J455" s="25">
        <v>169.85476</v>
      </c>
      <c r="K455" s="24">
        <v>0.583888926091118</v>
      </c>
      <c r="L455" s="16">
        <v>49.73495</v>
      </c>
      <c r="M455" s="24">
        <v>0.170967752359106</v>
      </c>
      <c r="N455" s="26">
        <v>788</v>
      </c>
      <c r="O455" s="27" t="s">
        <v>159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36900</v>
      </c>
      <c r="AG455" s="33">
        <f t="shared" si="28"/>
        <v>0</v>
      </c>
      <c r="AH455" s="1">
        <v>7</v>
      </c>
      <c r="AI455" s="1">
        <v>73</v>
      </c>
      <c r="AJ455" s="1">
        <v>15</v>
      </c>
    </row>
    <row r="456" s="2" customFormat="1" spans="1:36">
      <c r="A456" s="2" t="str">
        <f>VLOOKUP(B456,'[1]2. ISIC行业分类'!$A$2:$B$102,2,FALSE)</f>
        <v>C2651</v>
      </c>
      <c r="B456" s="14" t="s">
        <v>158</v>
      </c>
      <c r="C456" s="15" t="s">
        <v>45</v>
      </c>
      <c r="D456" s="16">
        <v>50.90774</v>
      </c>
      <c r="E456" s="16">
        <v>315.35635</v>
      </c>
      <c r="F456" s="17">
        <f t="shared" si="27"/>
        <v>0.161429252970489</v>
      </c>
      <c r="G456" s="16">
        <v>66.28602</v>
      </c>
      <c r="H456" s="16">
        <v>325.16208</v>
      </c>
      <c r="I456" s="24">
        <v>0.203855320398984</v>
      </c>
      <c r="J456" s="25">
        <v>176.02154</v>
      </c>
      <c r="K456" s="24">
        <v>0.541334770647303</v>
      </c>
      <c r="L456" s="16">
        <v>72.29956</v>
      </c>
      <c r="M456" s="24">
        <v>0.222349297310437</v>
      </c>
      <c r="N456" s="26">
        <v>887</v>
      </c>
      <c r="O456" s="27" t="s">
        <v>159</v>
      </c>
      <c r="P456" s="1">
        <v>1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1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4</v>
      </c>
      <c r="AF456" s="1">
        <v>29932</v>
      </c>
      <c r="AG456" s="33">
        <f t="shared" si="28"/>
        <v>0.000133636242148871</v>
      </c>
      <c r="AH456" s="1">
        <v>3</v>
      </c>
      <c r="AI456" s="1">
        <v>37</v>
      </c>
      <c r="AJ456" s="1">
        <v>10</v>
      </c>
    </row>
    <row r="457" s="2" customFormat="1" spans="1:36">
      <c r="A457" s="2" t="str">
        <f>VLOOKUP(B457,'[1]2. ISIC行业分类'!$A$2:$B$102,2,FALSE)</f>
        <v>C2593</v>
      </c>
      <c r="B457" s="14" t="s">
        <v>160</v>
      </c>
      <c r="C457" s="15" t="s">
        <v>37</v>
      </c>
      <c r="D457" s="16">
        <v>37.4899</v>
      </c>
      <c r="E457" s="16">
        <v>1391.03648</v>
      </c>
      <c r="F457" s="17">
        <f t="shared" si="27"/>
        <v>0.0269510545115251</v>
      </c>
      <c r="G457" s="16">
        <v>444.04848</v>
      </c>
      <c r="H457" s="16">
        <v>2261.1138</v>
      </c>
      <c r="I457" s="24">
        <v>0.196384843611144</v>
      </c>
      <c r="J457" s="25">
        <v>1536.70371</v>
      </c>
      <c r="K457" s="24">
        <v>0.679622454208187</v>
      </c>
      <c r="L457" s="16">
        <v>110.63461</v>
      </c>
      <c r="M457" s="24">
        <v>0.0489292533617724</v>
      </c>
      <c r="N457" s="26">
        <v>8688</v>
      </c>
      <c r="O457" s="27" t="s">
        <v>95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27912</v>
      </c>
      <c r="AG457" s="33">
        <f t="shared" si="28"/>
        <v>0</v>
      </c>
      <c r="AH457" s="1">
        <v>10</v>
      </c>
      <c r="AI457" s="1">
        <v>148</v>
      </c>
      <c r="AJ457" s="1">
        <v>53</v>
      </c>
    </row>
    <row r="458" s="2" customFormat="1" spans="1:36">
      <c r="A458" s="2" t="str">
        <f>VLOOKUP(B458,'[1]2. ISIC行业分类'!$A$2:$B$102,2,FALSE)</f>
        <v>C2593</v>
      </c>
      <c r="B458" s="14" t="s">
        <v>160</v>
      </c>
      <c r="C458" s="15" t="s">
        <v>39</v>
      </c>
      <c r="D458" s="16">
        <v>31.72</v>
      </c>
      <c r="E458" s="16">
        <v>1370.14213</v>
      </c>
      <c r="F458" s="17">
        <f t="shared" si="27"/>
        <v>0.023150882894171</v>
      </c>
      <c r="G458" s="16">
        <v>376.64426</v>
      </c>
      <c r="H458" s="16">
        <v>2167.07784</v>
      </c>
      <c r="I458" s="24">
        <v>0.173802829343684</v>
      </c>
      <c r="J458" s="25">
        <v>1521.35916</v>
      </c>
      <c r="K458" s="24">
        <v>0.70203253981869</v>
      </c>
      <c r="L458" s="16">
        <v>103.97419</v>
      </c>
      <c r="M458" s="24">
        <v>0.047978982610057</v>
      </c>
      <c r="N458" s="26">
        <v>8330</v>
      </c>
      <c r="O458" s="27" t="s">
        <v>95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31050</v>
      </c>
      <c r="AG458" s="33">
        <f t="shared" si="28"/>
        <v>0</v>
      </c>
      <c r="AH458" s="1">
        <v>5</v>
      </c>
      <c r="AI458" s="1">
        <v>101</v>
      </c>
      <c r="AJ458" s="1">
        <v>28</v>
      </c>
    </row>
    <row r="459" s="2" customFormat="1" spans="1:36">
      <c r="A459" s="2" t="str">
        <f>VLOOKUP(B459,'[1]2. ISIC行业分类'!$A$2:$B$102,2,FALSE)</f>
        <v>C2593</v>
      </c>
      <c r="B459" s="14" t="s">
        <v>160</v>
      </c>
      <c r="C459" s="15" t="s">
        <v>40</v>
      </c>
      <c r="D459" s="16">
        <v>31.059</v>
      </c>
      <c r="E459" s="16">
        <v>1426.2931</v>
      </c>
      <c r="F459" s="17">
        <f t="shared" si="27"/>
        <v>0.0217760290644328</v>
      </c>
      <c r="G459" s="16">
        <v>474.41375</v>
      </c>
      <c r="H459" s="16">
        <v>1446.86842</v>
      </c>
      <c r="I459" s="24">
        <v>0.327890044071872</v>
      </c>
      <c r="J459" s="25">
        <v>1552.79687</v>
      </c>
      <c r="K459" s="24">
        <v>1.07321222063856</v>
      </c>
      <c r="L459" s="16">
        <v>122.66436</v>
      </c>
      <c r="M459" s="24">
        <v>0.0847792088792704</v>
      </c>
      <c r="N459" s="26">
        <v>9021</v>
      </c>
      <c r="O459" s="27" t="s">
        <v>95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2</v>
      </c>
      <c r="AF459" s="1">
        <v>32947</v>
      </c>
      <c r="AG459" s="33">
        <f t="shared" si="28"/>
        <v>6.0703554193098e-5</v>
      </c>
      <c r="AH459" s="1">
        <v>9</v>
      </c>
      <c r="AI459" s="1">
        <v>145</v>
      </c>
      <c r="AJ459" s="1">
        <v>21</v>
      </c>
    </row>
    <row r="460" s="2" customFormat="1" spans="1:36">
      <c r="A460" s="2" t="str">
        <f>VLOOKUP(B460,'[1]2. ISIC行业分类'!$A$2:$B$102,2,FALSE)</f>
        <v>C2593</v>
      </c>
      <c r="B460" s="14" t="s">
        <v>160</v>
      </c>
      <c r="C460" s="15" t="s">
        <v>41</v>
      </c>
      <c r="D460" s="16">
        <v>34.476</v>
      </c>
      <c r="E460" s="16">
        <v>1690.19865</v>
      </c>
      <c r="F460" s="17">
        <f t="shared" si="27"/>
        <v>0.0203976023765017</v>
      </c>
      <c r="G460" s="16">
        <v>443.27697</v>
      </c>
      <c r="H460" s="16">
        <v>1558.65211</v>
      </c>
      <c r="I460" s="24">
        <v>0.284397632515956</v>
      </c>
      <c r="J460" s="25">
        <v>1702.92234</v>
      </c>
      <c r="K460" s="24">
        <v>1.09256089224426</v>
      </c>
      <c r="L460" s="16">
        <v>163.25316</v>
      </c>
      <c r="M460" s="24">
        <v>0.104739960221143</v>
      </c>
      <c r="N460" s="26">
        <v>9478</v>
      </c>
      <c r="O460" s="27" t="s">
        <v>95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11937</v>
      </c>
      <c r="AG460" s="33">
        <f t="shared" si="28"/>
        <v>0</v>
      </c>
      <c r="AH460" s="1">
        <v>18</v>
      </c>
      <c r="AI460" s="1">
        <v>234</v>
      </c>
      <c r="AJ460" s="1">
        <v>46</v>
      </c>
    </row>
    <row r="461" s="2" customFormat="1" spans="1:36">
      <c r="A461" s="2" t="str">
        <f>VLOOKUP(B461,'[1]2. ISIC行业分类'!$A$2:$B$102,2,FALSE)</f>
        <v>C2593</v>
      </c>
      <c r="B461" s="14" t="s">
        <v>160</v>
      </c>
      <c r="C461" s="15" t="s">
        <v>42</v>
      </c>
      <c r="D461" s="16">
        <v>38.658</v>
      </c>
      <c r="E461" s="16">
        <v>1781.88138</v>
      </c>
      <c r="F461" s="17">
        <f t="shared" si="27"/>
        <v>0.0216950468386397</v>
      </c>
      <c r="G461" s="16">
        <v>421.46022</v>
      </c>
      <c r="H461" s="16">
        <v>1645.69698</v>
      </c>
      <c r="I461" s="24">
        <v>0.256098312825487</v>
      </c>
      <c r="J461" s="25">
        <v>1809.52478</v>
      </c>
      <c r="K461" s="24">
        <v>1.09954918918305</v>
      </c>
      <c r="L461" s="16">
        <v>195.94293</v>
      </c>
      <c r="M461" s="24">
        <v>0.119063796301066</v>
      </c>
      <c r="N461" s="26">
        <v>10231</v>
      </c>
      <c r="O461" s="27" t="s">
        <v>95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31708</v>
      </c>
      <c r="AG461" s="33">
        <f t="shared" si="28"/>
        <v>0</v>
      </c>
      <c r="AH461" s="1">
        <v>15</v>
      </c>
      <c r="AI461" s="1">
        <v>176</v>
      </c>
      <c r="AJ461" s="1">
        <v>32</v>
      </c>
    </row>
    <row r="462" s="2" customFormat="1" spans="1:36">
      <c r="A462" s="2" t="str">
        <f>VLOOKUP(B462,'[1]2. ISIC行业分类'!$A$2:$B$102,2,FALSE)</f>
        <v>C2593</v>
      </c>
      <c r="B462" s="14" t="s">
        <v>160</v>
      </c>
      <c r="C462" s="15" t="s">
        <v>43</v>
      </c>
      <c r="D462" s="16">
        <v>44.844</v>
      </c>
      <c r="E462" s="16">
        <v>1856.08525</v>
      </c>
      <c r="F462" s="17">
        <f t="shared" si="27"/>
        <v>0.0241605281869462</v>
      </c>
      <c r="G462" s="16">
        <v>414.45962</v>
      </c>
      <c r="H462" s="16">
        <v>1691.91215</v>
      </c>
      <c r="I462" s="24">
        <v>0.244965212880586</v>
      </c>
      <c r="J462" s="25">
        <v>1849.68353</v>
      </c>
      <c r="K462" s="24">
        <v>1.09325033808641</v>
      </c>
      <c r="L462" s="16">
        <v>211.97947</v>
      </c>
      <c r="M462" s="24">
        <v>0.12528987985576</v>
      </c>
      <c r="N462" s="26">
        <v>10571</v>
      </c>
      <c r="O462" s="27" t="s">
        <v>95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29142</v>
      </c>
      <c r="AG462" s="33">
        <f t="shared" si="28"/>
        <v>0</v>
      </c>
      <c r="AH462" s="1">
        <v>6</v>
      </c>
      <c r="AI462" s="1">
        <v>104</v>
      </c>
      <c r="AJ462" s="1">
        <v>5</v>
      </c>
    </row>
    <row r="463" s="2" customFormat="1" spans="1:36">
      <c r="A463" s="2" t="str">
        <f>VLOOKUP(B463,'[1]2. ISIC行业分类'!$A$2:$B$102,2,FALSE)</f>
        <v>C2593</v>
      </c>
      <c r="B463" s="14" t="s">
        <v>160</v>
      </c>
      <c r="C463" s="15" t="s">
        <v>44</v>
      </c>
      <c r="D463" s="16">
        <v>47.615</v>
      </c>
      <c r="E463" s="16">
        <v>1943.71291</v>
      </c>
      <c r="F463" s="17">
        <f t="shared" si="27"/>
        <v>0.0244969304649008</v>
      </c>
      <c r="G463" s="16">
        <v>458.77367</v>
      </c>
      <c r="H463" s="16">
        <v>1903.47556</v>
      </c>
      <c r="I463" s="24">
        <v>0.241018944314683</v>
      </c>
      <c r="J463" s="25">
        <v>2075.95366</v>
      </c>
      <c r="K463" s="24">
        <v>1.09061219572475</v>
      </c>
      <c r="L463" s="16">
        <v>207.85533</v>
      </c>
      <c r="M463" s="24">
        <v>0.10919779290468</v>
      </c>
      <c r="N463" s="26">
        <v>10692</v>
      </c>
      <c r="O463" s="27" t="s">
        <v>95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29619</v>
      </c>
      <c r="AG463" s="33">
        <f t="shared" si="28"/>
        <v>0</v>
      </c>
      <c r="AH463" s="1">
        <v>9</v>
      </c>
      <c r="AI463" s="1">
        <v>82</v>
      </c>
      <c r="AJ463" s="1">
        <v>20</v>
      </c>
    </row>
    <row r="464" s="2" customFormat="1" spans="1:36">
      <c r="A464" s="2" t="str">
        <f>VLOOKUP(B464,'[1]2. ISIC行业分类'!$A$2:$B$102,2,FALSE)</f>
        <v>C2593</v>
      </c>
      <c r="B464" s="14" t="s">
        <v>160</v>
      </c>
      <c r="C464" s="15" t="s">
        <v>45</v>
      </c>
      <c r="D464" s="16">
        <v>49.704</v>
      </c>
      <c r="E464" s="16">
        <v>2103.31172</v>
      </c>
      <c r="F464" s="17">
        <f t="shared" si="27"/>
        <v>0.0236313046361003</v>
      </c>
      <c r="G464" s="16">
        <v>426.38848</v>
      </c>
      <c r="H464" s="16">
        <v>2017.41973</v>
      </c>
      <c r="I464" s="24">
        <v>0.211353380587787</v>
      </c>
      <c r="J464" s="25">
        <v>2079.28829</v>
      </c>
      <c r="K464" s="24">
        <v>1.03066717306269</v>
      </c>
      <c r="L464" s="16">
        <v>267.43893</v>
      </c>
      <c r="M464" s="24">
        <v>0.132564843112742</v>
      </c>
      <c r="N464" s="26">
        <v>10509</v>
      </c>
      <c r="O464" s="27" t="s">
        <v>95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32484</v>
      </c>
      <c r="AG464" s="33">
        <f t="shared" si="28"/>
        <v>0</v>
      </c>
      <c r="AH464" s="1">
        <v>3</v>
      </c>
      <c r="AI464" s="1">
        <v>40</v>
      </c>
      <c r="AJ464" s="1">
        <v>3</v>
      </c>
    </row>
    <row r="465" s="2" customFormat="1" spans="1:36">
      <c r="A465" s="2" t="str">
        <f>VLOOKUP(B465,'[1]2. ISIC行业分类'!$A$2:$B$102,2,FALSE)</f>
        <v>C2100</v>
      </c>
      <c r="B465" s="14" t="s">
        <v>161</v>
      </c>
      <c r="C465" s="15" t="s">
        <v>37</v>
      </c>
      <c r="D465" s="16">
        <v>21.41922</v>
      </c>
      <c r="E465" s="16">
        <v>317.38947</v>
      </c>
      <c r="F465" s="17">
        <f t="shared" si="27"/>
        <v>0.0674856037284413</v>
      </c>
      <c r="G465" s="16">
        <v>248.45373</v>
      </c>
      <c r="H465" s="16">
        <v>633.7803</v>
      </c>
      <c r="I465" s="24">
        <v>0.392018701117722</v>
      </c>
      <c r="J465" s="25">
        <v>831.90082</v>
      </c>
      <c r="K465" s="24">
        <v>1.31260125945852</v>
      </c>
      <c r="L465" s="16">
        <v>38.81372</v>
      </c>
      <c r="M465" s="24">
        <v>0.0612416005988195</v>
      </c>
      <c r="N465" s="26">
        <v>1328</v>
      </c>
      <c r="O465" s="27" t="s">
        <v>162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32934</v>
      </c>
      <c r="AG465" s="33">
        <f t="shared" si="28"/>
        <v>0</v>
      </c>
      <c r="AH465" s="1">
        <v>3</v>
      </c>
      <c r="AI465" s="1">
        <v>25</v>
      </c>
      <c r="AJ465" s="1">
        <v>18</v>
      </c>
    </row>
    <row r="466" s="2" customFormat="1" spans="1:36">
      <c r="A466" s="2" t="str">
        <f>VLOOKUP(B466,'[1]2. ISIC行业分类'!$A$2:$B$102,2,FALSE)</f>
        <v>C2100</v>
      </c>
      <c r="B466" s="14" t="s">
        <v>161</v>
      </c>
      <c r="C466" s="15" t="s">
        <v>39</v>
      </c>
      <c r="D466" s="16">
        <v>23.26085</v>
      </c>
      <c r="E466" s="16">
        <v>479.99021</v>
      </c>
      <c r="F466" s="17">
        <f t="shared" si="27"/>
        <v>0.0484610925710339</v>
      </c>
      <c r="G466" s="16">
        <v>510.6641</v>
      </c>
      <c r="H466" s="16">
        <v>1002.72271</v>
      </c>
      <c r="I466" s="24">
        <v>0.509277485098547</v>
      </c>
      <c r="J466" s="25">
        <v>1458.46526</v>
      </c>
      <c r="K466" s="24">
        <v>1.45450506451579</v>
      </c>
      <c r="L466" s="16">
        <v>39.05275</v>
      </c>
      <c r="M466" s="24">
        <v>0.0389467094048364</v>
      </c>
      <c r="N466" s="26">
        <v>2171</v>
      </c>
      <c r="O466" s="27" t="s">
        <v>162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36332</v>
      </c>
      <c r="AG466" s="33">
        <f t="shared" si="28"/>
        <v>0</v>
      </c>
      <c r="AH466" s="1">
        <v>1</v>
      </c>
      <c r="AI466" s="1">
        <v>12</v>
      </c>
      <c r="AJ466" s="1">
        <v>2</v>
      </c>
    </row>
    <row r="467" s="2" customFormat="1" spans="1:36">
      <c r="A467" s="2" t="str">
        <f>VLOOKUP(B467,'[1]2. ISIC行业分类'!$A$2:$B$102,2,FALSE)</f>
        <v>C2100</v>
      </c>
      <c r="B467" s="14" t="s">
        <v>161</v>
      </c>
      <c r="C467" s="15" t="s">
        <v>40</v>
      </c>
      <c r="D467" s="16">
        <v>20.86377</v>
      </c>
      <c r="E467" s="16">
        <v>706.57918</v>
      </c>
      <c r="F467" s="17">
        <f t="shared" si="27"/>
        <v>0.0295278584347758</v>
      </c>
      <c r="G467" s="16">
        <v>355.0188</v>
      </c>
      <c r="H467" s="16">
        <v>1005.49036</v>
      </c>
      <c r="I467" s="24">
        <v>0.353080262251346</v>
      </c>
      <c r="J467" s="25">
        <v>1386.40651</v>
      </c>
      <c r="K467" s="24">
        <v>1.37883620286524</v>
      </c>
      <c r="L467" s="16">
        <v>27.47248</v>
      </c>
      <c r="M467" s="24">
        <v>0.0273224698046832</v>
      </c>
      <c r="N467" s="26">
        <v>2245</v>
      </c>
      <c r="O467" s="27" t="s">
        <v>162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36549</v>
      </c>
      <c r="AG467" s="33">
        <f t="shared" si="28"/>
        <v>0</v>
      </c>
      <c r="AH467" s="1">
        <v>2</v>
      </c>
      <c r="AI467" s="1">
        <v>9</v>
      </c>
      <c r="AJ467" s="1">
        <v>1</v>
      </c>
    </row>
    <row r="468" s="2" customFormat="1" spans="1:36">
      <c r="A468" s="2" t="str">
        <f>VLOOKUP(B468,'[1]2. ISIC行业分类'!$A$2:$B$102,2,FALSE)</f>
        <v>C2100</v>
      </c>
      <c r="B468" s="14" t="s">
        <v>161</v>
      </c>
      <c r="C468" s="15" t="s">
        <v>41</v>
      </c>
      <c r="D468" s="16">
        <v>26.30007</v>
      </c>
      <c r="E468" s="16">
        <v>770.05828</v>
      </c>
      <c r="F468" s="17">
        <f t="shared" si="27"/>
        <v>0.0341533500555309</v>
      </c>
      <c r="G468" s="16">
        <v>413.74364</v>
      </c>
      <c r="H468" s="16">
        <v>1098.96261</v>
      </c>
      <c r="I468" s="24">
        <v>0.376485638578732</v>
      </c>
      <c r="J468" s="25">
        <v>1536.99824</v>
      </c>
      <c r="K468" s="24">
        <v>1.39859011217861</v>
      </c>
      <c r="L468" s="16">
        <v>41.88762</v>
      </c>
      <c r="M468" s="24">
        <v>0.0381156006754406</v>
      </c>
      <c r="N468" s="26">
        <v>2229</v>
      </c>
      <c r="O468" s="27" t="s">
        <v>162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43702</v>
      </c>
      <c r="AG468" s="33">
        <f t="shared" si="28"/>
        <v>0</v>
      </c>
      <c r="AH468" s="1">
        <v>4</v>
      </c>
      <c r="AI468" s="1">
        <v>45</v>
      </c>
      <c r="AJ468" s="1">
        <v>9</v>
      </c>
    </row>
    <row r="469" s="2" customFormat="1" spans="1:36">
      <c r="A469" s="2" t="str">
        <f>VLOOKUP(B469,'[1]2. ISIC行业分类'!$A$2:$B$102,2,FALSE)</f>
        <v>C2100</v>
      </c>
      <c r="B469" s="14" t="s">
        <v>161</v>
      </c>
      <c r="C469" s="15" t="s">
        <v>42</v>
      </c>
      <c r="D469" s="16">
        <v>27.91882</v>
      </c>
      <c r="E469" s="16">
        <v>807.24521</v>
      </c>
      <c r="F469" s="17">
        <f t="shared" si="27"/>
        <v>0.034585302773119</v>
      </c>
      <c r="G469" s="16">
        <v>431.24924</v>
      </c>
      <c r="H469" s="16">
        <v>1121.09131</v>
      </c>
      <c r="I469" s="24">
        <v>0.384669148849258</v>
      </c>
      <c r="J469" s="25">
        <v>1560.85207</v>
      </c>
      <c r="K469" s="24">
        <v>1.39226132258576</v>
      </c>
      <c r="L469" s="16">
        <v>57.22794</v>
      </c>
      <c r="M469" s="24">
        <v>0.0510466359782951</v>
      </c>
      <c r="N469" s="26">
        <v>2263</v>
      </c>
      <c r="O469" s="27" t="s">
        <v>162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45531</v>
      </c>
      <c r="AG469" s="33">
        <f t="shared" si="28"/>
        <v>0</v>
      </c>
      <c r="AH469" s="1">
        <v>3</v>
      </c>
      <c r="AI469" s="1">
        <v>11</v>
      </c>
      <c r="AJ469" s="1">
        <v>2</v>
      </c>
    </row>
    <row r="470" s="2" customFormat="1" spans="1:36">
      <c r="A470" s="2" t="str">
        <f>VLOOKUP(B470,'[1]2. ISIC行业分类'!$A$2:$B$102,2,FALSE)</f>
        <v>C2221</v>
      </c>
      <c r="B470" s="14" t="s">
        <v>163</v>
      </c>
      <c r="C470" s="15" t="s">
        <v>40</v>
      </c>
      <c r="D470" s="16">
        <v>0</v>
      </c>
      <c r="E470" s="16">
        <v>1819.69809</v>
      </c>
      <c r="F470" s="17">
        <f t="shared" si="27"/>
        <v>0</v>
      </c>
      <c r="G470" s="16">
        <v>3939.19561</v>
      </c>
      <c r="H470" s="16">
        <v>5100.70728</v>
      </c>
      <c r="I470" s="24">
        <v>0.772284193889284</v>
      </c>
      <c r="J470" s="25">
        <v>1377.38837</v>
      </c>
      <c r="K470" s="24">
        <v>0.2700387013779</v>
      </c>
      <c r="L470" s="16">
        <v>-42.11971</v>
      </c>
      <c r="M470" s="24">
        <v>-0.00825762148029008</v>
      </c>
      <c r="N470" s="26">
        <v>0</v>
      </c>
      <c r="O470" s="27" t="s">
        <v>164</v>
      </c>
      <c r="AH470" s="1">
        <v>11</v>
      </c>
      <c r="AI470" s="1">
        <v>220</v>
      </c>
      <c r="AJ470" s="1">
        <v>56</v>
      </c>
    </row>
    <row r="471" s="2" customFormat="1" spans="1:36">
      <c r="A471" s="2" t="str">
        <f>VLOOKUP(B471,'[1]2. ISIC行业分类'!$A$2:$B$102,2,FALSE)</f>
        <v>C2221</v>
      </c>
      <c r="B471" s="14" t="s">
        <v>163</v>
      </c>
      <c r="C471" s="15" t="s">
        <v>41</v>
      </c>
      <c r="D471" s="16">
        <v>71.51001</v>
      </c>
      <c r="E471" s="16">
        <v>1998.19885</v>
      </c>
      <c r="F471" s="17">
        <f t="shared" si="27"/>
        <v>0.0357872340883391</v>
      </c>
      <c r="G471" s="16">
        <v>4244.59654</v>
      </c>
      <c r="H471" s="16">
        <v>5489.55332</v>
      </c>
      <c r="I471" s="24">
        <v>0.773213464296946</v>
      </c>
      <c r="J471" s="25">
        <v>1682.87704</v>
      </c>
      <c r="K471" s="24">
        <v>0.30655992243828</v>
      </c>
      <c r="L471" s="16">
        <v>-116.35447</v>
      </c>
      <c r="M471" s="24">
        <v>-0.0211956170597866</v>
      </c>
      <c r="N471" s="26">
        <v>0</v>
      </c>
      <c r="O471" s="27" t="s">
        <v>164</v>
      </c>
      <c r="AH471" s="1">
        <v>8</v>
      </c>
      <c r="AI471" s="1">
        <v>532</v>
      </c>
      <c r="AJ471" s="1">
        <v>134</v>
      </c>
    </row>
    <row r="472" s="2" customFormat="1" spans="1:36">
      <c r="A472" s="2" t="str">
        <f>VLOOKUP(B472,'[1]2. ISIC行业分类'!$A$2:$B$102,2,FALSE)</f>
        <v>C2221</v>
      </c>
      <c r="B472" s="14" t="s">
        <v>163</v>
      </c>
      <c r="C472" s="15" t="s">
        <v>42</v>
      </c>
      <c r="D472" s="16">
        <v>62.1206</v>
      </c>
      <c r="E472" s="16">
        <v>1919.05198</v>
      </c>
      <c r="F472" s="17">
        <f t="shared" si="27"/>
        <v>0.0323704624196787</v>
      </c>
      <c r="G472" s="16">
        <v>2962.10213</v>
      </c>
      <c r="H472" s="16">
        <v>5132.35631</v>
      </c>
      <c r="I472" s="24">
        <v>0.577142729593534</v>
      </c>
      <c r="J472" s="25">
        <v>1870.04809</v>
      </c>
      <c r="K472" s="24">
        <v>0.364364431665891</v>
      </c>
      <c r="L472" s="16">
        <v>-96.06137</v>
      </c>
      <c r="M472" s="24">
        <v>-0.0187168162531568</v>
      </c>
      <c r="N472" s="26">
        <v>5000</v>
      </c>
      <c r="O472" s="27" t="s">
        <v>164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1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2</v>
      </c>
      <c r="AF472" s="1">
        <v>52466</v>
      </c>
      <c r="AG472" s="33">
        <f t="shared" ref="AG472:AG492" si="29">AE472/AF472</f>
        <v>3.81199252849464e-5</v>
      </c>
      <c r="AH472" s="1">
        <v>14</v>
      </c>
      <c r="AI472" s="1">
        <v>240</v>
      </c>
      <c r="AJ472" s="1">
        <v>31</v>
      </c>
    </row>
    <row r="473" s="2" customFormat="1" spans="1:36">
      <c r="A473" s="2" t="str">
        <f>VLOOKUP(B473,'[1]2. ISIC行业分类'!$A$2:$B$102,2,FALSE)</f>
        <v>C2221</v>
      </c>
      <c r="B473" s="18" t="s">
        <v>163</v>
      </c>
      <c r="C473" s="19">
        <v>2019</v>
      </c>
      <c r="D473" s="20">
        <v>0</v>
      </c>
      <c r="E473" s="20">
        <v>2001.90775</v>
      </c>
      <c r="F473" s="17">
        <f t="shared" si="27"/>
        <v>0</v>
      </c>
      <c r="G473" s="20">
        <v>3069.68915</v>
      </c>
      <c r="H473" s="20">
        <v>5301.4252</v>
      </c>
      <c r="I473" s="28">
        <v>0.579030927381565</v>
      </c>
      <c r="J473" s="29">
        <v>2147.68264</v>
      </c>
      <c r="K473" s="28">
        <v>0.405114202120592</v>
      </c>
      <c r="L473" s="20">
        <v>119.96409</v>
      </c>
      <c r="M473" s="28">
        <v>0.0226286489904639</v>
      </c>
      <c r="N473" s="30">
        <v>5500</v>
      </c>
      <c r="O473" s="31" t="s">
        <v>164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1</v>
      </c>
      <c r="AD473" s="1">
        <v>0</v>
      </c>
      <c r="AE473" s="1">
        <v>2</v>
      </c>
      <c r="AF473" s="1">
        <v>52754</v>
      </c>
      <c r="AG473" s="33">
        <f t="shared" si="29"/>
        <v>3.79118171133942e-5</v>
      </c>
      <c r="AH473" s="2">
        <v>0</v>
      </c>
      <c r="AI473" s="2">
        <v>0</v>
      </c>
      <c r="AJ473" s="2">
        <v>0</v>
      </c>
    </row>
    <row r="474" s="2" customFormat="1" spans="1:36">
      <c r="A474" s="2" t="str">
        <f>VLOOKUP(B474,'[1]2. ISIC行业分类'!$A$2:$B$102,2,FALSE)</f>
        <v>C2221</v>
      </c>
      <c r="B474" s="14" t="s">
        <v>163</v>
      </c>
      <c r="C474" s="15" t="s">
        <v>44</v>
      </c>
      <c r="D474" s="16">
        <v>58.13798</v>
      </c>
      <c r="E474" s="16">
        <v>2221.52905</v>
      </c>
      <c r="F474" s="17">
        <f t="shared" si="27"/>
        <v>0.0261702542219738</v>
      </c>
      <c r="G474" s="16">
        <v>3435.71865</v>
      </c>
      <c r="H474" s="16">
        <v>5654.31193</v>
      </c>
      <c r="I474" s="24">
        <v>0.607628070848224</v>
      </c>
      <c r="J474" s="25">
        <v>2512.17125</v>
      </c>
      <c r="K474" s="24">
        <v>0.444293007018451</v>
      </c>
      <c r="L474" s="16">
        <v>83.18043</v>
      </c>
      <c r="M474" s="24">
        <v>0.0147109729759815</v>
      </c>
      <c r="N474" s="26">
        <v>5500</v>
      </c>
      <c r="O474" s="27" t="s">
        <v>164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56453</v>
      </c>
      <c r="AG474" s="33">
        <f t="shared" si="29"/>
        <v>0</v>
      </c>
      <c r="AH474" s="1">
        <v>4</v>
      </c>
      <c r="AI474" s="1">
        <v>48</v>
      </c>
      <c r="AJ474" s="1">
        <v>6</v>
      </c>
    </row>
    <row r="475" s="2" customFormat="1" spans="1:36">
      <c r="A475" s="2" t="str">
        <f>VLOOKUP(B475,'[1]2. ISIC行业分类'!$A$2:$B$102,2,FALSE)</f>
        <v>C2029</v>
      </c>
      <c r="B475" s="14" t="s">
        <v>165</v>
      </c>
      <c r="C475" s="15" t="s">
        <v>37</v>
      </c>
      <c r="D475" s="16">
        <v>177.2846</v>
      </c>
      <c r="E475" s="16">
        <v>5608.54071</v>
      </c>
      <c r="F475" s="17">
        <f t="shared" si="27"/>
        <v>0.0316097554010622</v>
      </c>
      <c r="G475" s="16">
        <v>2450.8738</v>
      </c>
      <c r="H475" s="16">
        <v>4850.10469</v>
      </c>
      <c r="I475" s="24">
        <v>0.505323896420883</v>
      </c>
      <c r="J475" s="25">
        <v>2353.42675</v>
      </c>
      <c r="K475" s="24">
        <v>0.485232154854785</v>
      </c>
      <c r="L475" s="16">
        <v>441.93445</v>
      </c>
      <c r="M475" s="24">
        <v>0.0911185383093246</v>
      </c>
      <c r="N475" s="26">
        <v>16895</v>
      </c>
      <c r="O475" s="27" t="s">
        <v>166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42706</v>
      </c>
      <c r="AG475" s="33">
        <f t="shared" si="29"/>
        <v>0</v>
      </c>
      <c r="AH475" s="1">
        <v>46</v>
      </c>
      <c r="AI475" s="1">
        <v>799</v>
      </c>
      <c r="AJ475" s="1">
        <v>675</v>
      </c>
    </row>
    <row r="476" s="2" customFormat="1" spans="1:36">
      <c r="A476" s="2" t="str">
        <f>VLOOKUP(B476,'[1]2. ISIC行业分类'!$A$2:$B$102,2,FALSE)</f>
        <v>C2029</v>
      </c>
      <c r="B476" s="14" t="s">
        <v>165</v>
      </c>
      <c r="C476" s="15" t="s">
        <v>39</v>
      </c>
      <c r="D476" s="16">
        <v>167.024</v>
      </c>
      <c r="E476" s="16">
        <v>5482.56609</v>
      </c>
      <c r="F476" s="17">
        <f t="shared" si="27"/>
        <v>0.0304645666387215</v>
      </c>
      <c r="G476" s="16">
        <v>2368.83371</v>
      </c>
      <c r="H476" s="16">
        <v>4917.8494</v>
      </c>
      <c r="I476" s="24">
        <v>0.481680815602039</v>
      </c>
      <c r="J476" s="25">
        <v>2324.38749</v>
      </c>
      <c r="K476" s="24">
        <v>0.472643080530282</v>
      </c>
      <c r="L476" s="16">
        <v>459.74371</v>
      </c>
      <c r="M476" s="24">
        <v>0.0934847069534094</v>
      </c>
      <c r="N476" s="26">
        <v>17281</v>
      </c>
      <c r="O476" s="27" t="s">
        <v>166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42997</v>
      </c>
      <c r="AG476" s="33">
        <f t="shared" si="29"/>
        <v>0</v>
      </c>
      <c r="AH476" s="1">
        <v>48</v>
      </c>
      <c r="AI476" s="1">
        <v>708</v>
      </c>
      <c r="AJ476" s="1">
        <v>426</v>
      </c>
    </row>
    <row r="477" s="2" customFormat="1" spans="1:36">
      <c r="A477" s="2" t="str">
        <f>VLOOKUP(B477,'[1]2. ISIC行业分类'!$A$2:$B$102,2,FALSE)</f>
        <v>C2029</v>
      </c>
      <c r="B477" s="14" t="s">
        <v>165</v>
      </c>
      <c r="C477" s="15" t="s">
        <v>40</v>
      </c>
      <c r="D477" s="16">
        <v>174.6815</v>
      </c>
      <c r="E477" s="16">
        <v>5658.41029</v>
      </c>
      <c r="F477" s="17">
        <f t="shared" si="27"/>
        <v>0.0308711265262456</v>
      </c>
      <c r="G477" s="16">
        <v>2118.07675</v>
      </c>
      <c r="H477" s="16">
        <v>5019.98464</v>
      </c>
      <c r="I477" s="24">
        <v>0.421928930443899</v>
      </c>
      <c r="J477" s="25">
        <v>2415.68056</v>
      </c>
      <c r="K477" s="24">
        <v>0.481212739328222</v>
      </c>
      <c r="L477" s="16">
        <v>554.35232</v>
      </c>
      <c r="M477" s="24">
        <v>0.110429086890593</v>
      </c>
      <c r="N477" s="26">
        <v>17419</v>
      </c>
      <c r="O477" s="27" t="s">
        <v>166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44633</v>
      </c>
      <c r="AG477" s="33">
        <f t="shared" si="29"/>
        <v>0</v>
      </c>
      <c r="AH477" s="1">
        <v>46</v>
      </c>
      <c r="AI477" s="1">
        <v>686</v>
      </c>
      <c r="AJ477" s="1">
        <v>359</v>
      </c>
    </row>
    <row r="478" s="2" customFormat="1" spans="1:36">
      <c r="A478" s="2" t="str">
        <f>VLOOKUP(B478,'[1]2. ISIC行业分类'!$A$2:$B$102,2,FALSE)</f>
        <v>C2029</v>
      </c>
      <c r="B478" s="14" t="s">
        <v>165</v>
      </c>
      <c r="C478" s="15" t="s">
        <v>41</v>
      </c>
      <c r="D478" s="16">
        <v>184.416</v>
      </c>
      <c r="E478" s="16">
        <v>6411.40617</v>
      </c>
      <c r="F478" s="17">
        <f t="shared" si="27"/>
        <v>0.0287637368636715</v>
      </c>
      <c r="G478" s="16">
        <v>2446.95042</v>
      </c>
      <c r="H478" s="16">
        <v>5947.09407</v>
      </c>
      <c r="I478" s="24">
        <v>0.411453121675609</v>
      </c>
      <c r="J478" s="25">
        <v>2749.4459</v>
      </c>
      <c r="K478" s="24">
        <v>0.462317539900626</v>
      </c>
      <c r="L478" s="16">
        <v>660.29798</v>
      </c>
      <c r="M478" s="24">
        <v>0.11102867589246</v>
      </c>
      <c r="N478" s="26">
        <v>18484</v>
      </c>
      <c r="O478" s="27" t="s">
        <v>166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2</v>
      </c>
      <c r="AF478" s="1">
        <v>46591</v>
      </c>
      <c r="AG478" s="33">
        <f t="shared" si="29"/>
        <v>4.29267455087893e-5</v>
      </c>
      <c r="AH478" s="1">
        <v>54</v>
      </c>
      <c r="AI478" s="1">
        <v>1028</v>
      </c>
      <c r="AJ478" s="1">
        <v>428</v>
      </c>
    </row>
    <row r="479" s="2" customFormat="1" spans="1:36">
      <c r="A479" s="2" t="str">
        <f>VLOOKUP(B479,'[1]2. ISIC行业分类'!$A$2:$B$102,2,FALSE)</f>
        <v>C2029</v>
      </c>
      <c r="B479" s="14" t="s">
        <v>165</v>
      </c>
      <c r="C479" s="15" t="s">
        <v>42</v>
      </c>
      <c r="D479" s="16">
        <v>193.29</v>
      </c>
      <c r="E479" s="16">
        <v>7200.90248</v>
      </c>
      <c r="F479" s="17">
        <f t="shared" si="27"/>
        <v>0.0268424687789967</v>
      </c>
      <c r="G479" s="16">
        <v>4783.52779</v>
      </c>
      <c r="H479" s="16">
        <v>6486.03602</v>
      </c>
      <c r="I479" s="24">
        <v>0.737511752208863</v>
      </c>
      <c r="J479" s="25">
        <v>2965.77097</v>
      </c>
      <c r="K479" s="24">
        <v>0.457254779476232</v>
      </c>
      <c r="L479" s="16">
        <v>694.03228</v>
      </c>
      <c r="M479" s="24">
        <v>0.107004074269695</v>
      </c>
      <c r="N479" s="26">
        <v>20060</v>
      </c>
      <c r="O479" s="27" t="s">
        <v>166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50391</v>
      </c>
      <c r="AG479" s="33">
        <f t="shared" si="29"/>
        <v>0</v>
      </c>
      <c r="AH479" s="1">
        <v>58</v>
      </c>
      <c r="AI479" s="1">
        <v>1102</v>
      </c>
      <c r="AJ479" s="1">
        <v>214</v>
      </c>
    </row>
    <row r="480" s="2" customFormat="1" spans="1:36">
      <c r="A480" s="2" t="str">
        <f>VLOOKUP(B480,'[1]2. ISIC行业分类'!$A$2:$B$102,2,FALSE)</f>
        <v>C2029</v>
      </c>
      <c r="B480" s="14" t="s">
        <v>165</v>
      </c>
      <c r="C480" s="15" t="s">
        <v>43</v>
      </c>
      <c r="D480" s="16">
        <v>202.202</v>
      </c>
      <c r="E480" s="16">
        <v>8373.03431</v>
      </c>
      <c r="F480" s="17">
        <f t="shared" si="27"/>
        <v>0.0241491904265229</v>
      </c>
      <c r="G480" s="16">
        <v>7019.69045</v>
      </c>
      <c r="H480" s="16">
        <v>10283.74067</v>
      </c>
      <c r="I480" s="24">
        <v>0.682600881844291</v>
      </c>
      <c r="J480" s="25">
        <v>3795.39283</v>
      </c>
      <c r="K480" s="24">
        <v>0.369067341524084</v>
      </c>
      <c r="L480" s="16">
        <v>776.36321</v>
      </c>
      <c r="M480" s="24">
        <v>0.0754942423105658</v>
      </c>
      <c r="N480" s="26">
        <v>25141</v>
      </c>
      <c r="O480" s="27" t="s">
        <v>166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54134</v>
      </c>
      <c r="AG480" s="33">
        <f t="shared" si="29"/>
        <v>0</v>
      </c>
      <c r="AH480" s="1">
        <v>26</v>
      </c>
      <c r="AI480" s="1">
        <v>443</v>
      </c>
      <c r="AJ480" s="1">
        <v>103</v>
      </c>
    </row>
    <row r="481" s="2" customFormat="1" spans="1:36">
      <c r="A481" s="2" t="str">
        <f>VLOOKUP(B481,'[1]2. ISIC行业分类'!$A$2:$B$102,2,FALSE)</f>
        <v>C2029</v>
      </c>
      <c r="B481" s="14" t="s">
        <v>165</v>
      </c>
      <c r="C481" s="15" t="s">
        <v>44</v>
      </c>
      <c r="D481" s="16">
        <v>207.152</v>
      </c>
      <c r="E481" s="16">
        <v>8903.6451</v>
      </c>
      <c r="F481" s="17">
        <f t="shared" si="27"/>
        <v>0.0232659767627081</v>
      </c>
      <c r="G481" s="16">
        <v>7353.48969</v>
      </c>
      <c r="H481" s="16">
        <v>11069.79373</v>
      </c>
      <c r="I481" s="24">
        <v>0.66428425581874</v>
      </c>
      <c r="J481" s="25">
        <v>4197.56994</v>
      </c>
      <c r="K481" s="24">
        <v>0.379191341987183</v>
      </c>
      <c r="L481" s="16">
        <v>931.90167</v>
      </c>
      <c r="M481" s="24">
        <v>0.0841841946408156</v>
      </c>
      <c r="N481" s="26">
        <v>24848</v>
      </c>
      <c r="O481" s="27" t="s">
        <v>166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2</v>
      </c>
      <c r="AF481" s="1">
        <v>55506</v>
      </c>
      <c r="AG481" s="33">
        <f t="shared" si="29"/>
        <v>3.60321406694772e-5</v>
      </c>
      <c r="AH481" s="1">
        <v>21</v>
      </c>
      <c r="AI481" s="1">
        <v>269</v>
      </c>
      <c r="AJ481" s="1">
        <v>25</v>
      </c>
    </row>
    <row r="482" s="2" customFormat="1" spans="1:36">
      <c r="A482" s="2" t="str">
        <f>VLOOKUP(B482,'[1]2. ISIC行业分类'!$A$2:$B$102,2,FALSE)</f>
        <v>C2029</v>
      </c>
      <c r="B482" s="14" t="s">
        <v>165</v>
      </c>
      <c r="C482" s="15" t="s">
        <v>45</v>
      </c>
      <c r="D482" s="16">
        <v>233.587</v>
      </c>
      <c r="E482" s="16">
        <v>10149.406</v>
      </c>
      <c r="F482" s="17">
        <f t="shared" si="27"/>
        <v>0.0230148444155254</v>
      </c>
      <c r="G482" s="16">
        <v>6922.8069</v>
      </c>
      <c r="H482" s="16">
        <v>11744.93479</v>
      </c>
      <c r="I482" s="24">
        <v>0.589429147439311</v>
      </c>
      <c r="J482" s="25">
        <v>4329.483</v>
      </c>
      <c r="K482" s="24">
        <v>0.368625546025701</v>
      </c>
      <c r="L482" s="16">
        <v>1149.50472</v>
      </c>
      <c r="M482" s="24">
        <v>0.097872379928301</v>
      </c>
      <c r="N482" s="26">
        <v>26666</v>
      </c>
      <c r="O482" s="27" t="s">
        <v>166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83095</v>
      </c>
      <c r="AG482" s="33">
        <f t="shared" si="29"/>
        <v>0</v>
      </c>
      <c r="AH482" s="1">
        <v>10</v>
      </c>
      <c r="AI482" s="1">
        <v>65</v>
      </c>
      <c r="AJ482" s="1">
        <v>3</v>
      </c>
    </row>
    <row r="483" s="2" customFormat="1" spans="1:36">
      <c r="A483" s="2" t="str">
        <f>VLOOKUP(B483,'[1]2. ISIC行业分类'!$A$2:$B$102,2,FALSE)</f>
        <v>C2029</v>
      </c>
      <c r="B483" s="14" t="s">
        <v>165</v>
      </c>
      <c r="C483" s="15" t="s">
        <v>48</v>
      </c>
      <c r="D483" s="16">
        <v>0</v>
      </c>
      <c r="E483" s="16">
        <v>11346.53444</v>
      </c>
      <c r="F483" s="17">
        <f t="shared" si="27"/>
        <v>0</v>
      </c>
      <c r="G483" s="16">
        <v>6869.58591</v>
      </c>
      <c r="H483" s="16">
        <v>12241.34016</v>
      </c>
      <c r="I483" s="24">
        <v>0.561179235297061</v>
      </c>
      <c r="J483" s="25">
        <v>4435.85279</v>
      </c>
      <c r="K483" s="24">
        <v>0.362366598102932</v>
      </c>
      <c r="L483" s="16">
        <v>1257.20527</v>
      </c>
      <c r="M483" s="24">
        <v>0.102701604037446</v>
      </c>
      <c r="N483" s="26">
        <v>27708</v>
      </c>
      <c r="O483" s="27" t="s">
        <v>166</v>
      </c>
      <c r="P483" s="1">
        <v>1</v>
      </c>
      <c r="Q483" s="1">
        <v>2</v>
      </c>
      <c r="R483" s="1">
        <v>1</v>
      </c>
      <c r="S483" s="1">
        <v>2</v>
      </c>
      <c r="T483" s="1">
        <v>1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12</v>
      </c>
      <c r="AF483" s="1">
        <v>91954</v>
      </c>
      <c r="AG483" s="33">
        <f t="shared" si="29"/>
        <v>0.000130500032625008</v>
      </c>
      <c r="AH483" s="1">
        <v>1</v>
      </c>
      <c r="AI483" s="1">
        <v>4</v>
      </c>
      <c r="AJ483" s="1">
        <v>0</v>
      </c>
    </row>
    <row r="484" s="2" customFormat="1" spans="1:36">
      <c r="A484" s="2" t="str">
        <f>VLOOKUP(B484,'[1]2. ISIC行业分类'!$A$2:$B$102,2,FALSE)</f>
        <v>C2660</v>
      </c>
      <c r="B484" s="14" t="s">
        <v>167</v>
      </c>
      <c r="C484" s="15" t="s">
        <v>37</v>
      </c>
      <c r="D484" s="16">
        <v>87.62798</v>
      </c>
      <c r="E484" s="16">
        <v>2207.54132</v>
      </c>
      <c r="F484" s="17">
        <f t="shared" si="27"/>
        <v>0.0396948311708159</v>
      </c>
      <c r="G484" s="16">
        <v>926.96594</v>
      </c>
      <c r="H484" s="16">
        <v>2934.33643</v>
      </c>
      <c r="I484" s="24">
        <v>0.315903088181337</v>
      </c>
      <c r="J484" s="25">
        <v>593.12728</v>
      </c>
      <c r="K484" s="24">
        <v>0.202133359329898</v>
      </c>
      <c r="L484" s="16">
        <v>385.58483</v>
      </c>
      <c r="M484" s="24">
        <v>0.131404438174801</v>
      </c>
      <c r="N484" s="26">
        <v>9529</v>
      </c>
      <c r="O484" s="27" t="s">
        <v>168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46800</v>
      </c>
      <c r="AG484" s="33">
        <f t="shared" si="29"/>
        <v>0</v>
      </c>
      <c r="AH484" s="1">
        <v>33</v>
      </c>
      <c r="AI484" s="1">
        <v>654</v>
      </c>
      <c r="AJ484" s="1">
        <v>356</v>
      </c>
    </row>
    <row r="485" s="2" customFormat="1" spans="1:36">
      <c r="A485" s="2" t="str">
        <f>VLOOKUP(B485,'[1]2. ISIC行业分类'!$A$2:$B$102,2,FALSE)</f>
        <v>C2660</v>
      </c>
      <c r="B485" s="14" t="s">
        <v>167</v>
      </c>
      <c r="C485" s="15" t="s">
        <v>39</v>
      </c>
      <c r="D485" s="16">
        <v>89.54207</v>
      </c>
      <c r="E485" s="16">
        <v>2097.0313</v>
      </c>
      <c r="F485" s="17">
        <f t="shared" si="27"/>
        <v>0.042699443732671</v>
      </c>
      <c r="G485" s="16">
        <v>844.78186</v>
      </c>
      <c r="H485" s="16">
        <v>2773.56202</v>
      </c>
      <c r="I485" s="24">
        <v>0.304583728039368</v>
      </c>
      <c r="J485" s="25">
        <v>577.18917</v>
      </c>
      <c r="K485" s="24">
        <v>0.208103934881543</v>
      </c>
      <c r="L485" s="16">
        <v>370.95192</v>
      </c>
      <c r="M485" s="24">
        <v>0.133745673370592</v>
      </c>
      <c r="N485" s="26">
        <v>10184</v>
      </c>
      <c r="O485" s="27" t="s">
        <v>168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43966</v>
      </c>
      <c r="AG485" s="33">
        <f t="shared" si="29"/>
        <v>0</v>
      </c>
      <c r="AH485" s="1">
        <v>21</v>
      </c>
      <c r="AI485" s="1">
        <v>551</v>
      </c>
      <c r="AJ485" s="1">
        <v>160</v>
      </c>
    </row>
    <row r="486" s="2" customFormat="1" spans="1:36">
      <c r="A486" s="2" t="str">
        <f>VLOOKUP(B486,'[1]2. ISIC行业分类'!$A$2:$B$102,2,FALSE)</f>
        <v>C2660</v>
      </c>
      <c r="B486" s="14" t="s">
        <v>167</v>
      </c>
      <c r="C486" s="15" t="s">
        <v>40</v>
      </c>
      <c r="D486" s="16">
        <v>79.55909</v>
      </c>
      <c r="E486" s="16">
        <v>2161.70564</v>
      </c>
      <c r="F486" s="17">
        <f t="shared" si="27"/>
        <v>0.0368038499450832</v>
      </c>
      <c r="G486" s="16">
        <v>881.97335</v>
      </c>
      <c r="H486" s="16">
        <v>2870.83686</v>
      </c>
      <c r="I486" s="24">
        <v>0.30721820605299</v>
      </c>
      <c r="J486" s="25">
        <v>622.87187</v>
      </c>
      <c r="K486" s="24">
        <v>0.216965261481281</v>
      </c>
      <c r="L486" s="16">
        <v>351.62916</v>
      </c>
      <c r="M486" s="24">
        <v>0.122483156357411</v>
      </c>
      <c r="N486" s="26">
        <v>10894</v>
      </c>
      <c r="O486" s="27" t="s">
        <v>168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47530</v>
      </c>
      <c r="AG486" s="33">
        <f t="shared" si="29"/>
        <v>0</v>
      </c>
      <c r="AH486" s="1">
        <v>23</v>
      </c>
      <c r="AI486" s="1">
        <v>545</v>
      </c>
      <c r="AJ486" s="1">
        <v>143</v>
      </c>
    </row>
    <row r="487" s="2" customFormat="1" spans="1:36">
      <c r="A487" s="2" t="str">
        <f>VLOOKUP(B487,'[1]2. ISIC行业分类'!$A$2:$B$102,2,FALSE)</f>
        <v>C2660</v>
      </c>
      <c r="B487" s="14" t="s">
        <v>167</v>
      </c>
      <c r="C487" s="15" t="s">
        <v>41</v>
      </c>
      <c r="D487" s="16">
        <v>57.52307</v>
      </c>
      <c r="E487" s="16">
        <v>2395.19491</v>
      </c>
      <c r="F487" s="17">
        <f t="shared" si="27"/>
        <v>0.0240160288249778</v>
      </c>
      <c r="G487" s="16">
        <v>1804.06523</v>
      </c>
      <c r="H487" s="16">
        <v>3934.93236</v>
      </c>
      <c r="I487" s="24">
        <v>0.458474267140897</v>
      </c>
      <c r="J487" s="25">
        <v>785.49176</v>
      </c>
      <c r="K487" s="24">
        <v>0.199620142898721</v>
      </c>
      <c r="L487" s="16">
        <v>349.10567</v>
      </c>
      <c r="M487" s="24">
        <v>0.088719611434439</v>
      </c>
      <c r="N487" s="26">
        <v>14089</v>
      </c>
      <c r="O487" s="27" t="s">
        <v>168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56316</v>
      </c>
      <c r="AG487" s="33">
        <f t="shared" si="29"/>
        <v>0</v>
      </c>
      <c r="AH487" s="1">
        <v>27</v>
      </c>
      <c r="AI487" s="1">
        <v>636</v>
      </c>
      <c r="AJ487" s="1">
        <v>125</v>
      </c>
    </row>
    <row r="488" s="2" customFormat="1" spans="1:36">
      <c r="A488" s="2" t="str">
        <f>VLOOKUP(B488,'[1]2. ISIC行业分类'!$A$2:$B$102,2,FALSE)</f>
        <v>C2660</v>
      </c>
      <c r="B488" s="14" t="s">
        <v>167</v>
      </c>
      <c r="C488" s="15" t="s">
        <v>42</v>
      </c>
      <c r="D488" s="16">
        <v>44.88632</v>
      </c>
      <c r="E488" s="16">
        <v>2774.87625</v>
      </c>
      <c r="F488" s="17">
        <f t="shared" si="27"/>
        <v>0.0161759718113556</v>
      </c>
      <c r="G488" s="16">
        <v>1916.16327</v>
      </c>
      <c r="H488" s="16">
        <v>4511.704</v>
      </c>
      <c r="I488" s="24">
        <v>0.424709437941851</v>
      </c>
      <c r="J488" s="25">
        <v>874.23442</v>
      </c>
      <c r="K488" s="24">
        <v>0.193770340430135</v>
      </c>
      <c r="L488" s="16">
        <v>419.60316</v>
      </c>
      <c r="M488" s="24">
        <v>0.0930032555327211</v>
      </c>
      <c r="N488" s="26">
        <v>14242</v>
      </c>
      <c r="O488" s="27" t="s">
        <v>168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68566</v>
      </c>
      <c r="AG488" s="33">
        <f t="shared" si="29"/>
        <v>0</v>
      </c>
      <c r="AH488" s="1">
        <v>26</v>
      </c>
      <c r="AI488" s="1">
        <v>755</v>
      </c>
      <c r="AJ488" s="1">
        <v>153</v>
      </c>
    </row>
    <row r="489" s="2" customFormat="1" spans="1:36">
      <c r="A489" s="2" t="str">
        <f>VLOOKUP(B489,'[1]2. ISIC行业分类'!$A$2:$B$102,2,FALSE)</f>
        <v>C2660</v>
      </c>
      <c r="B489" s="14" t="s">
        <v>167</v>
      </c>
      <c r="C489" s="15" t="s">
        <v>43</v>
      </c>
      <c r="D489" s="16">
        <v>149.45761</v>
      </c>
      <c r="E489" s="16">
        <v>2775.41181</v>
      </c>
      <c r="F489" s="17">
        <f t="shared" si="27"/>
        <v>0.0538506067681538</v>
      </c>
      <c r="G489" s="16">
        <v>1924.86943</v>
      </c>
      <c r="H489" s="16">
        <v>4311.47047</v>
      </c>
      <c r="I489" s="24">
        <v>0.446453116957102</v>
      </c>
      <c r="J489" s="25">
        <v>866.11089</v>
      </c>
      <c r="K489" s="24">
        <v>0.200885265485768</v>
      </c>
      <c r="L489" s="16">
        <v>456.10687</v>
      </c>
      <c r="M489" s="24">
        <v>0.105789167100569</v>
      </c>
      <c r="N489" s="26">
        <v>14740</v>
      </c>
      <c r="O489" s="27" t="s">
        <v>168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1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2</v>
      </c>
      <c r="AF489" s="1">
        <v>73127</v>
      </c>
      <c r="AG489" s="33">
        <f t="shared" si="29"/>
        <v>2.73496793250099e-5</v>
      </c>
      <c r="AH489" s="1">
        <v>19</v>
      </c>
      <c r="AI489" s="1">
        <v>210</v>
      </c>
      <c r="AJ489" s="1">
        <v>44</v>
      </c>
    </row>
    <row r="490" s="2" customFormat="1" spans="1:36">
      <c r="A490" s="2" t="str">
        <f>VLOOKUP(B490,'[1]2. ISIC行业分类'!$A$2:$B$102,2,FALSE)</f>
        <v>C2660</v>
      </c>
      <c r="B490" s="14" t="s">
        <v>167</v>
      </c>
      <c r="C490" s="15" t="s">
        <v>44</v>
      </c>
      <c r="D490" s="16">
        <v>170.30772</v>
      </c>
      <c r="E490" s="16">
        <v>3027.24301</v>
      </c>
      <c r="F490" s="17">
        <f t="shared" si="27"/>
        <v>0.0562583576665026</v>
      </c>
      <c r="G490" s="16">
        <v>2550.0493</v>
      </c>
      <c r="H490" s="16">
        <v>4656.21919</v>
      </c>
      <c r="I490" s="24">
        <v>0.54766521848384</v>
      </c>
      <c r="J490" s="25">
        <v>1258.47128</v>
      </c>
      <c r="K490" s="24">
        <v>0.270277499543573</v>
      </c>
      <c r="L490" s="16">
        <v>501.47891</v>
      </c>
      <c r="M490" s="24">
        <v>0.107700881237938</v>
      </c>
      <c r="N490" s="26">
        <v>15184</v>
      </c>
      <c r="O490" s="27" t="s">
        <v>168</v>
      </c>
      <c r="P490" s="1">
        <v>0</v>
      </c>
      <c r="Q490" s="1">
        <v>1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2</v>
      </c>
      <c r="AF490" s="1">
        <v>73599</v>
      </c>
      <c r="AG490" s="33">
        <f t="shared" si="29"/>
        <v>2.71742822592698e-5</v>
      </c>
      <c r="AH490" s="1">
        <v>13</v>
      </c>
      <c r="AI490" s="1">
        <v>167</v>
      </c>
      <c r="AJ490" s="1">
        <v>34</v>
      </c>
    </row>
    <row r="491" s="2" customFormat="1" spans="1:36">
      <c r="A491" s="2" t="str">
        <f>VLOOKUP(B491,'[1]2. ISIC行业分类'!$A$2:$B$102,2,FALSE)</f>
        <v>C2660</v>
      </c>
      <c r="B491" s="14" t="s">
        <v>167</v>
      </c>
      <c r="C491" s="15" t="s">
        <v>45</v>
      </c>
      <c r="D491" s="16">
        <v>191.94041</v>
      </c>
      <c r="E491" s="16">
        <v>2760.69519</v>
      </c>
      <c r="F491" s="17">
        <f t="shared" si="27"/>
        <v>0.0695261145436342</v>
      </c>
      <c r="G491" s="16">
        <v>3345.53518</v>
      </c>
      <c r="H491" s="16">
        <v>6287.24217</v>
      </c>
      <c r="I491" s="24">
        <v>0.532114890685052</v>
      </c>
      <c r="J491" s="25">
        <v>1318.75478</v>
      </c>
      <c r="K491" s="24">
        <v>0.209750912139591</v>
      </c>
      <c r="L491" s="16">
        <v>616.45871</v>
      </c>
      <c r="M491" s="24">
        <v>0.0980491435404658</v>
      </c>
      <c r="N491" s="26">
        <v>14508</v>
      </c>
      <c r="O491" s="27" t="s">
        <v>168</v>
      </c>
      <c r="P491" s="1">
        <v>1</v>
      </c>
      <c r="Q491" s="1">
        <v>1</v>
      </c>
      <c r="R491" s="1">
        <v>0</v>
      </c>
      <c r="S491" s="1">
        <v>0</v>
      </c>
      <c r="T491" s="1">
        <v>0</v>
      </c>
      <c r="U491" s="1">
        <v>2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8</v>
      </c>
      <c r="AF491" s="1">
        <v>73976</v>
      </c>
      <c r="AG491" s="33">
        <f t="shared" si="29"/>
        <v>0.000108143181572402</v>
      </c>
      <c r="AH491" s="1">
        <v>6</v>
      </c>
      <c r="AI491" s="1">
        <v>40</v>
      </c>
      <c r="AJ491" s="1">
        <v>6</v>
      </c>
    </row>
    <row r="492" s="2" customFormat="1" spans="1:36">
      <c r="A492" s="2" t="str">
        <f>VLOOKUP(B492,'[1]2. ISIC行业分类'!$A$2:$B$102,2,FALSE)</f>
        <v>C2660</v>
      </c>
      <c r="B492" s="14" t="s">
        <v>167</v>
      </c>
      <c r="C492" s="15" t="s">
        <v>48</v>
      </c>
      <c r="D492" s="16">
        <v>249.75839</v>
      </c>
      <c r="E492" s="16">
        <v>3652.87928</v>
      </c>
      <c r="F492" s="17">
        <f t="shared" si="27"/>
        <v>0.0683730205286171</v>
      </c>
      <c r="G492" s="16">
        <v>3426.46787</v>
      </c>
      <c r="H492" s="16">
        <v>6068.26005</v>
      </c>
      <c r="I492" s="24">
        <v>0.564654092238516</v>
      </c>
      <c r="J492" s="25">
        <v>1391.80575</v>
      </c>
      <c r="K492" s="24">
        <v>0.229358290273008</v>
      </c>
      <c r="L492" s="16">
        <v>704.75301</v>
      </c>
      <c r="M492" s="24">
        <v>0.116137575547706</v>
      </c>
      <c r="N492" s="26">
        <v>16733</v>
      </c>
      <c r="O492" s="27" t="s">
        <v>168</v>
      </c>
      <c r="P492" s="1">
        <v>1</v>
      </c>
      <c r="Q492" s="1">
        <v>1</v>
      </c>
      <c r="R492" s="1">
        <v>0</v>
      </c>
      <c r="S492" s="1">
        <v>1</v>
      </c>
      <c r="T492" s="1">
        <v>0</v>
      </c>
      <c r="U492" s="1">
        <v>1</v>
      </c>
      <c r="V492" s="1">
        <v>1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9</v>
      </c>
      <c r="AF492" s="1">
        <v>81179</v>
      </c>
      <c r="AG492" s="33">
        <f t="shared" si="29"/>
        <v>0.000110866110693652</v>
      </c>
      <c r="AH492" s="1">
        <v>5</v>
      </c>
      <c r="AI492" s="1">
        <v>5</v>
      </c>
      <c r="AJ492" s="1">
        <v>0</v>
      </c>
    </row>
    <row r="493" s="2" customFormat="1" spans="1:36">
      <c r="A493" s="2" t="str">
        <f>VLOOKUP(B493,'[1]2. ISIC行业分类'!$A$2:$B$102,2,FALSE)</f>
        <v>C2660</v>
      </c>
      <c r="B493" s="14" t="s">
        <v>167</v>
      </c>
      <c r="C493" s="15" t="s">
        <v>71</v>
      </c>
      <c r="D493" s="16">
        <v>267.8004</v>
      </c>
      <c r="E493" s="16">
        <v>4096.33802</v>
      </c>
      <c r="F493" s="17">
        <f t="shared" si="27"/>
        <v>0.065375561951306</v>
      </c>
      <c r="G493" s="16">
        <v>3639.19266</v>
      </c>
      <c r="H493" s="16">
        <v>6084.1314</v>
      </c>
      <c r="I493" s="24">
        <v>0.598144980892425</v>
      </c>
      <c r="J493" s="25">
        <v>1410.22551</v>
      </c>
      <c r="K493" s="24">
        <v>0.23178748407702</v>
      </c>
      <c r="L493" s="16">
        <v>709.49574</v>
      </c>
      <c r="M493" s="24">
        <v>0.116614138215358</v>
      </c>
      <c r="N493" s="26">
        <v>17608</v>
      </c>
      <c r="O493" s="27" t="s">
        <v>168</v>
      </c>
      <c r="AH493" s="1">
        <v>2</v>
      </c>
      <c r="AI493" s="1">
        <v>0</v>
      </c>
      <c r="AJ493" s="1">
        <v>0</v>
      </c>
    </row>
    <row r="494" s="2" customFormat="1" spans="1:15">
      <c r="A494" s="2" t="str">
        <f>VLOOKUP(B494,'[1]2. ISIC行业分类'!$A$2:$B$102,2,FALSE)</f>
        <v>C3020</v>
      </c>
      <c r="B494" s="18" t="s">
        <v>169</v>
      </c>
      <c r="C494" s="19">
        <v>2015</v>
      </c>
      <c r="D494" s="20">
        <v>0</v>
      </c>
      <c r="E494" s="20">
        <v>0</v>
      </c>
      <c r="F494" s="17" t="e">
        <f t="shared" si="27"/>
        <v>#DIV/0!</v>
      </c>
      <c r="G494" s="20">
        <v>0</v>
      </c>
      <c r="H494" s="20">
        <v>0</v>
      </c>
      <c r="I494" s="28" t="e">
        <v>#DIV/0!</v>
      </c>
      <c r="J494" s="29">
        <v>0</v>
      </c>
      <c r="K494" s="28" t="e">
        <v>#DIV/0!</v>
      </c>
      <c r="L494" s="20">
        <v>0</v>
      </c>
      <c r="M494" s="28" t="e">
        <v>#DIV/0!</v>
      </c>
      <c r="N494" s="30">
        <v>0</v>
      </c>
      <c r="O494" s="31" t="s">
        <v>170</v>
      </c>
    </row>
    <row r="495" s="3" customFormat="1" spans="1:15">
      <c r="A495" s="2" t="str">
        <f>VLOOKUP(B495,'[1]2. ISIC行业分类'!$A$2:$B$102,2,FALSE)</f>
        <v>C3020</v>
      </c>
      <c r="B495" s="34" t="s">
        <v>169</v>
      </c>
      <c r="C495" s="35">
        <v>2016</v>
      </c>
      <c r="D495" s="20">
        <v>0</v>
      </c>
      <c r="E495" s="20">
        <v>0</v>
      </c>
      <c r="F495" s="17" t="e">
        <f t="shared" si="27"/>
        <v>#DIV/0!</v>
      </c>
      <c r="G495" s="20">
        <v>0</v>
      </c>
      <c r="H495" s="20">
        <v>0</v>
      </c>
      <c r="I495" s="28" t="e">
        <v>#DIV/0!</v>
      </c>
      <c r="J495" s="29">
        <v>0</v>
      </c>
      <c r="K495" s="28" t="e">
        <v>#DIV/0!</v>
      </c>
      <c r="L495" s="20">
        <v>0</v>
      </c>
      <c r="M495" s="28" t="e">
        <v>#DIV/0!</v>
      </c>
      <c r="N495" s="30">
        <v>0</v>
      </c>
      <c r="O495" s="31" t="s">
        <v>170</v>
      </c>
    </row>
    <row r="496" s="2" customFormat="1" spans="1:15">
      <c r="A496" s="2" t="str">
        <f>VLOOKUP(B496,'[1]2. ISIC行业分类'!$A$2:$B$102,2,FALSE)</f>
        <v>C3020</v>
      </c>
      <c r="B496" s="14" t="s">
        <v>169</v>
      </c>
      <c r="C496" s="15" t="s">
        <v>41</v>
      </c>
      <c r="D496" s="16">
        <v>6.85643</v>
      </c>
      <c r="E496" s="16">
        <v>2491.41972</v>
      </c>
      <c r="F496" s="17">
        <f t="shared" si="27"/>
        <v>0.00275201723136397</v>
      </c>
      <c r="G496" s="16">
        <v>1947.17206</v>
      </c>
      <c r="H496" s="16">
        <v>2732.59214</v>
      </c>
      <c r="I496" s="24">
        <v>0.712573249222623</v>
      </c>
      <c r="J496" s="25">
        <v>714.11714</v>
      </c>
      <c r="K496" s="24">
        <v>0.261333233579454</v>
      </c>
      <c r="L496" s="16">
        <v>175.93273</v>
      </c>
      <c r="M496" s="24">
        <v>0.0643830915798506</v>
      </c>
      <c r="N496" s="26">
        <v>0</v>
      </c>
      <c r="O496" s="27" t="s">
        <v>170</v>
      </c>
    </row>
    <row r="497" s="2" customFormat="1" spans="1:15">
      <c r="A497" s="2" t="str">
        <f>VLOOKUP(B497,'[1]2. ISIC行业分类'!$A$2:$B$102,2,FALSE)</f>
        <v>C3020</v>
      </c>
      <c r="B497" s="14" t="s">
        <v>169</v>
      </c>
      <c r="C497" s="15" t="s">
        <v>42</v>
      </c>
      <c r="D497" s="16">
        <v>6.23806</v>
      </c>
      <c r="E497" s="16">
        <v>2033.42209</v>
      </c>
      <c r="F497" s="17">
        <f t="shared" si="27"/>
        <v>0.00306776445022292</v>
      </c>
      <c r="G497" s="16">
        <v>2115.04939</v>
      </c>
      <c r="H497" s="16">
        <v>2931.65068</v>
      </c>
      <c r="I497" s="24">
        <v>0.721453413405993</v>
      </c>
      <c r="J497" s="25">
        <v>855.6547</v>
      </c>
      <c r="K497" s="24">
        <v>0.291867890617855</v>
      </c>
      <c r="L497" s="16">
        <v>119.69897</v>
      </c>
      <c r="M497" s="24">
        <v>0.0408298883685556</v>
      </c>
      <c r="N497" s="26">
        <v>8727</v>
      </c>
      <c r="O497" s="27" t="s">
        <v>170</v>
      </c>
    </row>
    <row r="498" s="3" customFormat="1" spans="1:36">
      <c r="A498" s="2" t="str">
        <f>VLOOKUP(B498,'[1]2. ISIC行业分类'!$A$2:$B$102,2,FALSE)</f>
        <v>C3020</v>
      </c>
      <c r="B498" s="34" t="s">
        <v>169</v>
      </c>
      <c r="C498" s="35">
        <v>2019</v>
      </c>
      <c r="D498" s="16">
        <v>13.86901</v>
      </c>
      <c r="E498" s="16">
        <v>3304.92313</v>
      </c>
      <c r="F498" s="17">
        <v>0.0690580482045642</v>
      </c>
      <c r="G498" s="16">
        <v>3048.83685</v>
      </c>
      <c r="H498" s="16">
        <v>3923.34665</v>
      </c>
      <c r="I498" s="24">
        <v>0.777101062430973</v>
      </c>
      <c r="J498" s="25">
        <v>1061.5835</v>
      </c>
      <c r="K498" s="24">
        <v>0.27058111217371</v>
      </c>
      <c r="L498" s="16">
        <v>131.31266</v>
      </c>
      <c r="M498" s="24">
        <v>0.0334695533467582</v>
      </c>
      <c r="N498" s="26">
        <v>10763</v>
      </c>
      <c r="O498" s="27" t="s">
        <v>170</v>
      </c>
      <c r="P498" s="36">
        <v>0</v>
      </c>
      <c r="Q498" s="36">
        <v>0</v>
      </c>
      <c r="R498" s="36">
        <v>0</v>
      </c>
      <c r="S498" s="36">
        <v>0</v>
      </c>
      <c r="T498" s="36">
        <v>0</v>
      </c>
      <c r="U498" s="36">
        <v>0</v>
      </c>
      <c r="V498" s="36">
        <v>0</v>
      </c>
      <c r="W498" s="36">
        <v>0</v>
      </c>
      <c r="X498" s="36">
        <v>0</v>
      </c>
      <c r="Y498" s="37">
        <v>0</v>
      </c>
      <c r="Z498" s="36">
        <v>0</v>
      </c>
      <c r="AA498" s="36">
        <v>0</v>
      </c>
      <c r="AB498" s="36">
        <v>0</v>
      </c>
      <c r="AC498" s="36">
        <v>0</v>
      </c>
      <c r="AD498" s="36">
        <v>0</v>
      </c>
      <c r="AE498" s="36">
        <f t="shared" ref="AE498:AE500" si="30">P498*2+Q498*2+R498*2+S498*1+T498*2+U498*2+V498*2+W498*2+X498*2+Y498*2+Z498*2+AA498*2+AB498*2+AC498*2+AD498*2</f>
        <v>0</v>
      </c>
      <c r="AF498" s="36">
        <v>27707</v>
      </c>
      <c r="AG498" s="38">
        <f t="shared" ref="AG498:AG500" si="31">AE498/AF498</f>
        <v>0</v>
      </c>
      <c r="AH498" s="1">
        <v>0</v>
      </c>
      <c r="AI498" s="1">
        <v>0</v>
      </c>
      <c r="AJ498" s="1">
        <v>0</v>
      </c>
    </row>
    <row r="499" s="3" customFormat="1" spans="1:36">
      <c r="A499" s="2" t="str">
        <f>VLOOKUP(B499,'[1]2. ISIC行业分类'!$A$2:$B$102,2,FALSE)</f>
        <v>C3020</v>
      </c>
      <c r="B499" s="34" t="s">
        <v>169</v>
      </c>
      <c r="C499" s="35">
        <v>2020</v>
      </c>
      <c r="D499" s="16">
        <v>39.90732</v>
      </c>
      <c r="E499" s="16">
        <v>3486.80192</v>
      </c>
      <c r="F499" s="17">
        <v>0.226079727829542</v>
      </c>
      <c r="G499" s="16">
        <v>4126.11359</v>
      </c>
      <c r="H499" s="16">
        <v>5098.52275</v>
      </c>
      <c r="I499" s="24">
        <v>0.80927629282423</v>
      </c>
      <c r="J499" s="25">
        <v>1412.97994</v>
      </c>
      <c r="K499" s="24">
        <v>0.277135164298325</v>
      </c>
      <c r="L499" s="16">
        <v>155.53772</v>
      </c>
      <c r="M499" s="24">
        <v>0.030506428553251</v>
      </c>
      <c r="N499" s="26">
        <v>11228</v>
      </c>
      <c r="O499" s="27" t="s">
        <v>170</v>
      </c>
      <c r="P499" s="36">
        <v>0</v>
      </c>
      <c r="Q499" s="36">
        <v>0</v>
      </c>
      <c r="R499" s="36">
        <v>0</v>
      </c>
      <c r="S499" s="36">
        <v>0</v>
      </c>
      <c r="T499" s="36">
        <v>0</v>
      </c>
      <c r="U499" s="36">
        <v>0</v>
      </c>
      <c r="V499" s="36">
        <v>0</v>
      </c>
      <c r="W499" s="36">
        <v>0</v>
      </c>
      <c r="X499" s="36">
        <v>0</v>
      </c>
      <c r="Y499" s="37">
        <v>0</v>
      </c>
      <c r="Z499" s="36">
        <v>0</v>
      </c>
      <c r="AA499" s="36">
        <v>0</v>
      </c>
      <c r="AB499" s="36">
        <v>0</v>
      </c>
      <c r="AC499" s="36">
        <v>0</v>
      </c>
      <c r="AD499" s="36">
        <v>0</v>
      </c>
      <c r="AE499" s="36">
        <f t="shared" si="30"/>
        <v>0</v>
      </c>
      <c r="AF499" s="36">
        <v>27723</v>
      </c>
      <c r="AG499" s="38">
        <f t="shared" si="31"/>
        <v>0</v>
      </c>
      <c r="AH499" s="1">
        <v>0</v>
      </c>
      <c r="AI499" s="1">
        <v>0</v>
      </c>
      <c r="AJ499" s="1">
        <v>0</v>
      </c>
    </row>
    <row r="500" s="2" customFormat="1" spans="1:36">
      <c r="A500" s="2" t="str">
        <f>VLOOKUP(B500,'[1]2. ISIC行业分类'!$A$2:$B$102,2,FALSE)</f>
        <v>C3020</v>
      </c>
      <c r="B500" s="14" t="s">
        <v>169</v>
      </c>
      <c r="C500" s="15" t="s">
        <v>45</v>
      </c>
      <c r="D500" s="16">
        <v>32.90552</v>
      </c>
      <c r="E500" s="16">
        <v>3987.09755</v>
      </c>
      <c r="F500" s="17">
        <f t="shared" ref="F500:F516" si="32">D500/E500</f>
        <v>0.00825300098313371</v>
      </c>
      <c r="G500" s="16">
        <v>4078.96908</v>
      </c>
      <c r="H500" s="16">
        <v>5044.58376</v>
      </c>
      <c r="I500" s="24">
        <v>0.808583874123244</v>
      </c>
      <c r="J500" s="25">
        <v>1436.06915</v>
      </c>
      <c r="K500" s="24">
        <v>0.284675449615292</v>
      </c>
      <c r="L500" s="16">
        <v>146.61423</v>
      </c>
      <c r="M500" s="24">
        <v>0.0290636922638787</v>
      </c>
      <c r="N500" s="26">
        <v>12174</v>
      </c>
      <c r="O500" s="27" t="s">
        <v>170</v>
      </c>
      <c r="P500" s="36">
        <v>0</v>
      </c>
      <c r="Q500" s="36">
        <v>0</v>
      </c>
      <c r="R500" s="36">
        <v>0</v>
      </c>
      <c r="S500" s="36">
        <v>0</v>
      </c>
      <c r="T500" s="36">
        <v>0</v>
      </c>
      <c r="U500" s="36">
        <v>0</v>
      </c>
      <c r="V500" s="36">
        <v>0</v>
      </c>
      <c r="W500" s="36">
        <v>0</v>
      </c>
      <c r="X500" s="36">
        <v>0</v>
      </c>
      <c r="Y500" s="37">
        <v>0</v>
      </c>
      <c r="Z500" s="36">
        <v>0</v>
      </c>
      <c r="AA500" s="36">
        <v>0</v>
      </c>
      <c r="AB500" s="36">
        <v>0</v>
      </c>
      <c r="AC500" s="36">
        <v>0</v>
      </c>
      <c r="AD500" s="36">
        <v>0</v>
      </c>
      <c r="AE500" s="36">
        <f t="shared" si="30"/>
        <v>0</v>
      </c>
      <c r="AF500" s="36">
        <v>29299</v>
      </c>
      <c r="AG500" s="38">
        <f t="shared" si="31"/>
        <v>0</v>
      </c>
      <c r="AH500" s="1">
        <v>2</v>
      </c>
      <c r="AI500" s="1">
        <v>4</v>
      </c>
      <c r="AJ500" s="1">
        <v>0</v>
      </c>
    </row>
    <row r="501" s="2" customFormat="1" spans="1:36">
      <c r="A501" s="2" t="str">
        <f>VLOOKUP(B501,'[1]2. ISIC行业分类'!$A$2:$B$102,2,FALSE)</f>
        <v>C2829</v>
      </c>
      <c r="B501" s="14" t="s">
        <v>171</v>
      </c>
      <c r="C501" s="15" t="s">
        <v>37</v>
      </c>
      <c r="D501" s="16">
        <v>41.288075</v>
      </c>
      <c r="E501" s="16">
        <v>395.79609</v>
      </c>
      <c r="F501" s="17">
        <f t="shared" si="32"/>
        <v>0.104316530767143</v>
      </c>
      <c r="G501" s="16">
        <v>161.47318</v>
      </c>
      <c r="H501" s="16">
        <v>358.65648</v>
      </c>
      <c r="I501" s="24">
        <v>0.450216820284413</v>
      </c>
      <c r="J501" s="25">
        <v>152.72308</v>
      </c>
      <c r="K501" s="24">
        <v>0.425819937785594</v>
      </c>
      <c r="L501" s="16">
        <v>14.41572</v>
      </c>
      <c r="M501" s="24">
        <v>0.0401936694410206</v>
      </c>
      <c r="N501" s="26">
        <v>1617</v>
      </c>
      <c r="O501" s="27" t="s">
        <v>172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36587</v>
      </c>
      <c r="AG501" s="33">
        <f t="shared" ref="AG501:AG552" si="33">AE501/AF501</f>
        <v>0</v>
      </c>
      <c r="AH501" s="1">
        <v>1</v>
      </c>
      <c r="AI501" s="1">
        <v>4</v>
      </c>
      <c r="AJ501" s="1">
        <v>1</v>
      </c>
    </row>
    <row r="502" s="2" customFormat="1" spans="1:36">
      <c r="A502" s="2" t="str">
        <f>VLOOKUP(B502,'[1]2. ISIC行业分类'!$A$2:$B$102,2,FALSE)</f>
        <v>C2829</v>
      </c>
      <c r="B502" s="14" t="s">
        <v>171</v>
      </c>
      <c r="C502" s="15" t="s">
        <v>39</v>
      </c>
      <c r="D502" s="16">
        <v>35.52328</v>
      </c>
      <c r="E502" s="16">
        <v>363.28842</v>
      </c>
      <c r="F502" s="17">
        <f t="shared" si="32"/>
        <v>0.0977825827754158</v>
      </c>
      <c r="G502" s="16">
        <v>155.2901</v>
      </c>
      <c r="H502" s="16">
        <v>341.13123</v>
      </c>
      <c r="I502" s="24">
        <v>0.455221001020634</v>
      </c>
      <c r="J502" s="25">
        <v>161.14901</v>
      </c>
      <c r="K502" s="24">
        <v>0.472395945689288</v>
      </c>
      <c r="L502" s="16">
        <v>9.3407</v>
      </c>
      <c r="M502" s="24">
        <v>0.0273815446331314</v>
      </c>
      <c r="N502" s="26">
        <v>1573</v>
      </c>
      <c r="O502" s="27" t="s">
        <v>172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40244</v>
      </c>
      <c r="AG502" s="33">
        <f t="shared" si="33"/>
        <v>0</v>
      </c>
      <c r="AH502" s="1">
        <v>1</v>
      </c>
      <c r="AI502" s="1">
        <v>0</v>
      </c>
      <c r="AJ502" s="1">
        <v>3</v>
      </c>
    </row>
    <row r="503" s="2" customFormat="1" spans="1:36">
      <c r="A503" s="2" t="str">
        <f>VLOOKUP(B503,'[1]2. ISIC行业分类'!$A$2:$B$102,2,FALSE)</f>
        <v>C2829</v>
      </c>
      <c r="B503" s="14" t="s">
        <v>171</v>
      </c>
      <c r="C503" s="15" t="s">
        <v>40</v>
      </c>
      <c r="D503" s="16">
        <v>35.6062</v>
      </c>
      <c r="E503" s="16">
        <v>365.83808</v>
      </c>
      <c r="F503" s="17">
        <f t="shared" si="32"/>
        <v>0.0973277576790256</v>
      </c>
      <c r="G503" s="16">
        <v>152.57044</v>
      </c>
      <c r="H503" s="16">
        <v>311.42275</v>
      </c>
      <c r="I503" s="24">
        <v>0.489914240369401</v>
      </c>
      <c r="J503" s="25">
        <v>174.7278</v>
      </c>
      <c r="K503" s="24">
        <v>0.561063056568603</v>
      </c>
      <c r="L503" s="16">
        <v>5.85166</v>
      </c>
      <c r="M503" s="24">
        <v>0.0187900851816381</v>
      </c>
      <c r="N503" s="26">
        <v>1524</v>
      </c>
      <c r="O503" s="27" t="s">
        <v>172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44805</v>
      </c>
      <c r="AG503" s="33">
        <f t="shared" si="33"/>
        <v>0</v>
      </c>
      <c r="AH503" s="1">
        <v>2</v>
      </c>
      <c r="AI503" s="1">
        <v>15</v>
      </c>
      <c r="AJ503" s="1">
        <v>2</v>
      </c>
    </row>
    <row r="504" s="2" customFormat="1" spans="1:36">
      <c r="A504" s="2" t="str">
        <f>VLOOKUP(B504,'[1]2. ISIC行业分类'!$A$2:$B$102,2,FALSE)</f>
        <v>C2829</v>
      </c>
      <c r="B504" s="18" t="s">
        <v>171</v>
      </c>
      <c r="C504" s="19">
        <v>2017</v>
      </c>
      <c r="D504" s="20">
        <v>0</v>
      </c>
      <c r="E504" s="20">
        <v>415.92616</v>
      </c>
      <c r="F504" s="17">
        <f t="shared" si="32"/>
        <v>0</v>
      </c>
      <c r="G504" s="20">
        <v>162.10598</v>
      </c>
      <c r="H504" s="20">
        <v>344.0291</v>
      </c>
      <c r="I504" s="28">
        <v>0.471198453851724</v>
      </c>
      <c r="J504" s="29">
        <v>192.17904</v>
      </c>
      <c r="K504" s="28">
        <v>0.558612745259049</v>
      </c>
      <c r="L504" s="20">
        <v>12.33685</v>
      </c>
      <c r="M504" s="28">
        <v>0.0358599025489413</v>
      </c>
      <c r="N504" s="30">
        <v>1503</v>
      </c>
      <c r="O504" s="31" t="s">
        <v>172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50854</v>
      </c>
      <c r="AG504" s="33">
        <f t="shared" si="33"/>
        <v>0</v>
      </c>
      <c r="AH504" s="2">
        <v>0</v>
      </c>
      <c r="AI504" s="2">
        <v>0</v>
      </c>
      <c r="AJ504" s="2">
        <v>0</v>
      </c>
    </row>
    <row r="505" s="2" customFormat="1" spans="1:36">
      <c r="A505" s="2" t="str">
        <f>VLOOKUP(B505,'[1]2. ISIC行业分类'!$A$2:$B$102,2,FALSE)</f>
        <v>C2829</v>
      </c>
      <c r="B505" s="18" t="s">
        <v>171</v>
      </c>
      <c r="C505" s="19">
        <v>2018</v>
      </c>
      <c r="D505" s="20">
        <v>0</v>
      </c>
      <c r="E505" s="20">
        <v>395.11057</v>
      </c>
      <c r="F505" s="17">
        <f t="shared" si="32"/>
        <v>0</v>
      </c>
      <c r="G505" s="20">
        <v>196.15432</v>
      </c>
      <c r="H505" s="20">
        <v>375.67787</v>
      </c>
      <c r="I505" s="28">
        <v>0.522134348770664</v>
      </c>
      <c r="J505" s="29">
        <v>189.48738</v>
      </c>
      <c r="K505" s="28">
        <v>0.504387921492421</v>
      </c>
      <c r="L505" s="20">
        <v>8.49526</v>
      </c>
      <c r="M505" s="28">
        <v>0.0226131499308171</v>
      </c>
      <c r="N505" s="30">
        <v>1516</v>
      </c>
      <c r="O505" s="31" t="s">
        <v>172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44792</v>
      </c>
      <c r="AG505" s="33">
        <f t="shared" si="33"/>
        <v>0</v>
      </c>
      <c r="AH505" s="2">
        <v>0</v>
      </c>
      <c r="AI505" s="2">
        <v>0</v>
      </c>
      <c r="AJ505" s="2">
        <v>0</v>
      </c>
    </row>
    <row r="506" s="2" customFormat="1" spans="1:36">
      <c r="A506" s="2" t="str">
        <f>VLOOKUP(B506,'[1]2. ISIC行业分类'!$A$2:$B$102,2,FALSE)</f>
        <v>C2829</v>
      </c>
      <c r="B506" s="14" t="s">
        <v>171</v>
      </c>
      <c r="C506" s="15" t="s">
        <v>43</v>
      </c>
      <c r="D506" s="16">
        <v>40.20911</v>
      </c>
      <c r="E506" s="16">
        <v>431.7422</v>
      </c>
      <c r="F506" s="17">
        <f t="shared" si="32"/>
        <v>0.0931322210337558</v>
      </c>
      <c r="G506" s="16">
        <v>161.6279</v>
      </c>
      <c r="H506" s="16">
        <v>345.47801</v>
      </c>
      <c r="I506" s="24">
        <v>0.467838459530319</v>
      </c>
      <c r="J506" s="25">
        <v>185.79748</v>
      </c>
      <c r="K506" s="24">
        <v>0.537798281285689</v>
      </c>
      <c r="L506" s="16">
        <v>7.0233</v>
      </c>
      <c r="M506" s="24">
        <v>0.0203292244273376</v>
      </c>
      <c r="N506" s="26">
        <v>1514</v>
      </c>
      <c r="O506" s="27" t="s">
        <v>172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45502</v>
      </c>
      <c r="AG506" s="33">
        <f t="shared" si="33"/>
        <v>0</v>
      </c>
      <c r="AH506" s="1">
        <v>2</v>
      </c>
      <c r="AI506" s="1">
        <v>25</v>
      </c>
      <c r="AJ506" s="1">
        <v>1</v>
      </c>
    </row>
    <row r="507" s="2" customFormat="1" spans="1:36">
      <c r="A507" s="2" t="str">
        <f>VLOOKUP(B507,'[1]2. ISIC行业分类'!$A$2:$B$102,2,FALSE)</f>
        <v>C2829</v>
      </c>
      <c r="B507" s="14" t="s">
        <v>171</v>
      </c>
      <c r="C507" s="15" t="s">
        <v>44</v>
      </c>
      <c r="D507" s="16">
        <v>32.04436</v>
      </c>
      <c r="E507" s="16">
        <v>335.74569</v>
      </c>
      <c r="F507" s="17">
        <f t="shared" si="32"/>
        <v>0.0954423569815595</v>
      </c>
      <c r="G507" s="16">
        <v>160.5527</v>
      </c>
      <c r="H507" s="16">
        <v>358.90704</v>
      </c>
      <c r="I507" s="24">
        <v>0.447337839904171</v>
      </c>
      <c r="J507" s="25">
        <v>200.04408</v>
      </c>
      <c r="K507" s="24">
        <v>0.557370175853892</v>
      </c>
      <c r="L507" s="16">
        <v>-0.71659</v>
      </c>
      <c r="M507" s="24">
        <v>-0.00199658942326682</v>
      </c>
      <c r="N507" s="26">
        <v>1415</v>
      </c>
      <c r="O507" s="27" t="s">
        <v>172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24017</v>
      </c>
      <c r="AG507" s="33">
        <f t="shared" si="33"/>
        <v>0</v>
      </c>
      <c r="AH507" s="1">
        <v>2</v>
      </c>
      <c r="AI507" s="1">
        <v>20</v>
      </c>
      <c r="AJ507" s="1">
        <v>0</v>
      </c>
    </row>
    <row r="508" s="2" customFormat="1" spans="1:36">
      <c r="A508" s="2" t="str">
        <f>VLOOKUP(B508,'[1]2. ISIC行业分类'!$A$2:$B$102,2,FALSE)</f>
        <v>C2829</v>
      </c>
      <c r="B508" s="14" t="s">
        <v>171</v>
      </c>
      <c r="C508" s="15" t="s">
        <v>45</v>
      </c>
      <c r="D508" s="16">
        <v>39.54193</v>
      </c>
      <c r="E508" s="16">
        <v>320.97608</v>
      </c>
      <c r="F508" s="17">
        <f t="shared" si="32"/>
        <v>0.123192762526105</v>
      </c>
      <c r="G508" s="16">
        <v>144.96221</v>
      </c>
      <c r="H508" s="16">
        <v>329.53456</v>
      </c>
      <c r="I508" s="24">
        <v>0.439899869682864</v>
      </c>
      <c r="J508" s="25">
        <v>184.987</v>
      </c>
      <c r="K508" s="24">
        <v>0.561358420191193</v>
      </c>
      <c r="L508" s="16">
        <v>-5.92249</v>
      </c>
      <c r="M508" s="24">
        <v>-0.0179722879445482</v>
      </c>
      <c r="N508" s="26">
        <v>1316</v>
      </c>
      <c r="O508" s="27" t="s">
        <v>172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26562</v>
      </c>
      <c r="AG508" s="33">
        <f t="shared" si="33"/>
        <v>0</v>
      </c>
      <c r="AH508" s="1">
        <v>1</v>
      </c>
      <c r="AI508" s="1">
        <v>4</v>
      </c>
      <c r="AJ508" s="1">
        <v>0</v>
      </c>
    </row>
    <row r="509" s="2" customFormat="1" spans="1:36">
      <c r="A509" s="2" t="str">
        <f>VLOOKUP(B509,'[1]2. ISIC行业分类'!$A$2:$B$102,2,FALSE)</f>
        <v>C3250</v>
      </c>
      <c r="B509" s="14" t="s">
        <v>173</v>
      </c>
      <c r="C509" s="15" t="s">
        <v>37</v>
      </c>
      <c r="D509" s="16">
        <v>0</v>
      </c>
      <c r="E509" s="16">
        <v>715.01772</v>
      </c>
      <c r="F509" s="17">
        <f t="shared" si="32"/>
        <v>0</v>
      </c>
      <c r="G509" s="16">
        <v>426.77881</v>
      </c>
      <c r="H509" s="16">
        <v>1168.54011</v>
      </c>
      <c r="I509" s="24">
        <v>0.365223928855981</v>
      </c>
      <c r="J509" s="25">
        <v>343.15555</v>
      </c>
      <c r="K509" s="24">
        <v>0.293661763993707</v>
      </c>
      <c r="L509" s="16">
        <v>158.87996</v>
      </c>
      <c r="M509" s="24">
        <v>0.135964489913829</v>
      </c>
      <c r="N509" s="26">
        <v>2390</v>
      </c>
      <c r="O509" s="27" t="s">
        <v>174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38934</v>
      </c>
      <c r="AG509" s="33">
        <f t="shared" si="33"/>
        <v>0</v>
      </c>
      <c r="AH509" s="1">
        <v>10</v>
      </c>
      <c r="AI509" s="1">
        <v>180</v>
      </c>
      <c r="AJ509" s="1">
        <v>78</v>
      </c>
    </row>
    <row r="510" s="2" customFormat="1" spans="1:36">
      <c r="A510" s="2" t="str">
        <f>VLOOKUP(B510,'[1]2. ISIC行业分类'!$A$2:$B$102,2,FALSE)</f>
        <v>C3250</v>
      </c>
      <c r="B510" s="14" t="s">
        <v>173</v>
      </c>
      <c r="C510" s="15" t="s">
        <v>39</v>
      </c>
      <c r="D510" s="16">
        <v>0</v>
      </c>
      <c r="E510" s="16">
        <v>797.63486</v>
      </c>
      <c r="F510" s="17">
        <f t="shared" si="32"/>
        <v>0</v>
      </c>
      <c r="G510" s="16">
        <v>440.79264</v>
      </c>
      <c r="H510" s="16">
        <v>1045.03151</v>
      </c>
      <c r="I510" s="24">
        <v>0.421798420221798</v>
      </c>
      <c r="J510" s="25">
        <v>391.04184</v>
      </c>
      <c r="K510" s="24">
        <v>0.374191434667841</v>
      </c>
      <c r="L510" s="16">
        <v>70.59358</v>
      </c>
      <c r="M510" s="24">
        <v>0.0675516281800919</v>
      </c>
      <c r="N510" s="26">
        <v>3500</v>
      </c>
      <c r="O510" s="27" t="s">
        <v>174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39903</v>
      </c>
      <c r="AG510" s="33">
        <f t="shared" si="33"/>
        <v>0</v>
      </c>
      <c r="AH510" s="1">
        <v>4</v>
      </c>
      <c r="AI510" s="1">
        <v>187</v>
      </c>
      <c r="AJ510" s="1">
        <v>47</v>
      </c>
    </row>
    <row r="511" s="2" customFormat="1" spans="1:36">
      <c r="A511" s="2" t="str">
        <f>VLOOKUP(B511,'[1]2. ISIC行业分类'!$A$2:$B$102,2,FALSE)</f>
        <v>C3250</v>
      </c>
      <c r="B511" s="14" t="s">
        <v>173</v>
      </c>
      <c r="C511" s="15" t="s">
        <v>40</v>
      </c>
      <c r="D511" s="16">
        <v>0</v>
      </c>
      <c r="E511" s="16">
        <v>903.2635</v>
      </c>
      <c r="F511" s="17">
        <f t="shared" si="32"/>
        <v>0</v>
      </c>
      <c r="G511" s="16">
        <v>449.15336</v>
      </c>
      <c r="H511" s="16">
        <v>1072.99021</v>
      </c>
      <c r="I511" s="24">
        <v>0.418599681352172</v>
      </c>
      <c r="J511" s="25">
        <v>411.09197</v>
      </c>
      <c r="K511" s="24">
        <v>0.383127419214757</v>
      </c>
      <c r="L511" s="16">
        <v>226.0332</v>
      </c>
      <c r="M511" s="24">
        <v>0.210657280833904</v>
      </c>
      <c r="N511" s="26">
        <v>3683</v>
      </c>
      <c r="O511" s="27" t="s">
        <v>174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47710</v>
      </c>
      <c r="AG511" s="33">
        <f t="shared" si="33"/>
        <v>0</v>
      </c>
      <c r="AH511" s="1">
        <v>8</v>
      </c>
      <c r="AI511" s="1">
        <v>152</v>
      </c>
      <c r="AJ511" s="1">
        <v>39</v>
      </c>
    </row>
    <row r="512" s="2" customFormat="1" spans="1:36">
      <c r="A512" s="2" t="str">
        <f>VLOOKUP(B512,'[1]2. ISIC行业分类'!$A$2:$B$102,2,FALSE)</f>
        <v>C3250</v>
      </c>
      <c r="B512" s="14" t="s">
        <v>173</v>
      </c>
      <c r="C512" s="15" t="s">
        <v>41</v>
      </c>
      <c r="D512" s="16">
        <v>0</v>
      </c>
      <c r="E512" s="16">
        <v>1141.13241</v>
      </c>
      <c r="F512" s="17">
        <f t="shared" si="32"/>
        <v>0</v>
      </c>
      <c r="G512" s="16">
        <v>636.10553</v>
      </c>
      <c r="H512" s="16">
        <v>1741.2658</v>
      </c>
      <c r="I512" s="24">
        <v>0.365312136722607</v>
      </c>
      <c r="J512" s="25">
        <v>504.00694</v>
      </c>
      <c r="K512" s="24">
        <v>0.289448595383887</v>
      </c>
      <c r="L512" s="16">
        <v>286.84124</v>
      </c>
      <c r="M512" s="24">
        <v>0.164731449960138</v>
      </c>
      <c r="N512" s="26">
        <v>4784</v>
      </c>
      <c r="O512" s="27" t="s">
        <v>174</v>
      </c>
      <c r="P512" s="1">
        <v>1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2</v>
      </c>
      <c r="AF512" s="1">
        <v>32876</v>
      </c>
      <c r="AG512" s="33">
        <f t="shared" si="33"/>
        <v>6.08346514174474e-5</v>
      </c>
      <c r="AH512" s="1">
        <v>9</v>
      </c>
      <c r="AI512" s="1">
        <v>186</v>
      </c>
      <c r="AJ512" s="1">
        <v>68</v>
      </c>
    </row>
    <row r="513" s="2" customFormat="1" spans="1:36">
      <c r="A513" s="2" t="str">
        <f>VLOOKUP(B513,'[1]2. ISIC行业分类'!$A$2:$B$102,2,FALSE)</f>
        <v>C3250</v>
      </c>
      <c r="B513" s="14" t="s">
        <v>173</v>
      </c>
      <c r="C513" s="15" t="s">
        <v>42</v>
      </c>
      <c r="D513" s="16">
        <v>0</v>
      </c>
      <c r="E513" s="16">
        <v>1385.78804</v>
      </c>
      <c r="F513" s="17">
        <f t="shared" si="32"/>
        <v>0</v>
      </c>
      <c r="G513" s="16">
        <v>671.01203</v>
      </c>
      <c r="H513" s="16">
        <v>1894.96423</v>
      </c>
      <c r="I513" s="24">
        <v>0.354102742087116</v>
      </c>
      <c r="J513" s="25">
        <v>577.29684</v>
      </c>
      <c r="K513" s="24">
        <v>0.304647882456335</v>
      </c>
      <c r="L513" s="16">
        <v>277.21655</v>
      </c>
      <c r="M513" s="24">
        <v>0.146291178277281</v>
      </c>
      <c r="N513" s="26">
        <v>5835</v>
      </c>
      <c r="O513" s="27" t="s">
        <v>174</v>
      </c>
      <c r="P513" s="1">
        <v>8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16</v>
      </c>
      <c r="AF513" s="1">
        <v>53556</v>
      </c>
      <c r="AG513" s="33">
        <f t="shared" si="33"/>
        <v>0.000298752707446411</v>
      </c>
      <c r="AH513" s="1">
        <v>16</v>
      </c>
      <c r="AI513" s="1">
        <v>258</v>
      </c>
      <c r="AJ513" s="1">
        <v>56</v>
      </c>
    </row>
    <row r="514" s="2" customFormat="1" spans="1:36">
      <c r="A514" s="2" t="str">
        <f>VLOOKUP(B514,'[1]2. ISIC行业分类'!$A$2:$B$102,2,FALSE)</f>
        <v>C3250</v>
      </c>
      <c r="B514" s="14" t="s">
        <v>173</v>
      </c>
      <c r="C514" s="15" t="s">
        <v>43</v>
      </c>
      <c r="D514" s="16">
        <v>0</v>
      </c>
      <c r="E514" s="16">
        <v>1648.15847</v>
      </c>
      <c r="F514" s="17">
        <f t="shared" si="32"/>
        <v>0</v>
      </c>
      <c r="G514" s="16">
        <v>1056.03156</v>
      </c>
      <c r="H514" s="16">
        <v>2467.73637</v>
      </c>
      <c r="I514" s="24">
        <v>0.427935322767075</v>
      </c>
      <c r="J514" s="25">
        <v>984.81864</v>
      </c>
      <c r="K514" s="24">
        <v>0.399077734547471</v>
      </c>
      <c r="L514" s="16">
        <v>316.44416</v>
      </c>
      <c r="M514" s="24">
        <v>0.128232563189074</v>
      </c>
      <c r="N514" s="26">
        <v>7400</v>
      </c>
      <c r="O514" s="27" t="s">
        <v>174</v>
      </c>
      <c r="P514" s="1">
        <v>3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6</v>
      </c>
      <c r="AF514" s="1">
        <v>57331</v>
      </c>
      <c r="AG514" s="33">
        <f t="shared" si="33"/>
        <v>0.000104655422022989</v>
      </c>
      <c r="AH514" s="1">
        <v>8</v>
      </c>
      <c r="AI514" s="1">
        <v>134</v>
      </c>
      <c r="AJ514" s="1">
        <v>17</v>
      </c>
    </row>
    <row r="515" s="2" customFormat="1" spans="1:36">
      <c r="A515" s="2" t="str">
        <f>VLOOKUP(B515,'[1]2. ISIC行业分类'!$A$2:$B$102,2,FALSE)</f>
        <v>C3250</v>
      </c>
      <c r="B515" s="14" t="s">
        <v>173</v>
      </c>
      <c r="C515" s="15" t="s">
        <v>44</v>
      </c>
      <c r="D515" s="16">
        <v>0</v>
      </c>
      <c r="E515" s="16">
        <v>1611.58632</v>
      </c>
      <c r="F515" s="17">
        <f t="shared" si="32"/>
        <v>0</v>
      </c>
      <c r="G515" s="16">
        <v>1513.04775</v>
      </c>
      <c r="H515" s="16">
        <v>2880.60243</v>
      </c>
      <c r="I515" s="24">
        <v>0.525253930998038</v>
      </c>
      <c r="J515" s="25">
        <v>1105.14948</v>
      </c>
      <c r="K515" s="24">
        <v>0.383652207083641</v>
      </c>
      <c r="L515" s="16">
        <v>103.17265</v>
      </c>
      <c r="M515" s="24">
        <v>0.0358163448470048</v>
      </c>
      <c r="N515" s="26">
        <v>7193</v>
      </c>
      <c r="O515" s="27" t="s">
        <v>174</v>
      </c>
      <c r="P515" s="1">
        <v>6</v>
      </c>
      <c r="Q515" s="1">
        <v>0</v>
      </c>
      <c r="R515" s="1">
        <v>0</v>
      </c>
      <c r="S515" s="1">
        <v>4</v>
      </c>
      <c r="T515" s="1">
        <v>0</v>
      </c>
      <c r="U515" s="1">
        <v>0</v>
      </c>
      <c r="V515" s="1">
        <v>1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20</v>
      </c>
      <c r="AF515" s="1">
        <v>61651</v>
      </c>
      <c r="AG515" s="33">
        <f t="shared" si="33"/>
        <v>0.000324406741172082</v>
      </c>
      <c r="AH515" s="1">
        <v>6</v>
      </c>
      <c r="AI515" s="1">
        <v>85</v>
      </c>
      <c r="AJ515" s="1">
        <v>15</v>
      </c>
    </row>
    <row r="516" s="2" customFormat="1" spans="1:36">
      <c r="A516" s="2" t="str">
        <f>VLOOKUP(B516,'[1]2. ISIC行业分类'!$A$2:$B$102,2,FALSE)</f>
        <v>C3250</v>
      </c>
      <c r="B516" s="14" t="s">
        <v>173</v>
      </c>
      <c r="C516" s="15" t="s">
        <v>45</v>
      </c>
      <c r="D516" s="16">
        <v>0</v>
      </c>
      <c r="E516" s="16">
        <v>2217.94737</v>
      </c>
      <c r="F516" s="17">
        <f t="shared" si="32"/>
        <v>0</v>
      </c>
      <c r="G516" s="16">
        <v>1609.888</v>
      </c>
      <c r="H516" s="16">
        <v>3255.81992</v>
      </c>
      <c r="I516" s="24">
        <v>0.49446469385813</v>
      </c>
      <c r="J516" s="25">
        <v>1145.76519</v>
      </c>
      <c r="K516" s="24">
        <v>0.351912949165813</v>
      </c>
      <c r="L516" s="16">
        <v>434.48295</v>
      </c>
      <c r="M516" s="24">
        <v>0.1334480900897</v>
      </c>
      <c r="N516" s="26">
        <v>8873</v>
      </c>
      <c r="O516" s="27" t="s">
        <v>174</v>
      </c>
      <c r="P516" s="1">
        <v>6</v>
      </c>
      <c r="Q516" s="1">
        <v>1</v>
      </c>
      <c r="R516" s="1">
        <v>0</v>
      </c>
      <c r="S516" s="1">
        <v>0</v>
      </c>
      <c r="T516" s="1">
        <v>0</v>
      </c>
      <c r="U516" s="1">
        <v>0</v>
      </c>
      <c r="V516" s="1">
        <v>1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16</v>
      </c>
      <c r="AF516" s="1">
        <v>61204</v>
      </c>
      <c r="AG516" s="33">
        <f t="shared" si="33"/>
        <v>0.000261420822168486</v>
      </c>
      <c r="AH516" s="1">
        <v>8</v>
      </c>
      <c r="AI516" s="1">
        <v>67</v>
      </c>
      <c r="AJ516" s="1">
        <v>2</v>
      </c>
    </row>
    <row r="517" s="2" customFormat="1" spans="1:36">
      <c r="A517" s="2" t="str">
        <f>VLOOKUP(B517,'[1]2. ISIC行业分类'!$A$2:$B$102,2,FALSE)</f>
        <v>C2813</v>
      </c>
      <c r="B517" s="14" t="s">
        <v>175</v>
      </c>
      <c r="C517" s="15" t="s">
        <v>37</v>
      </c>
      <c r="D517" s="16">
        <v>76.70935</v>
      </c>
      <c r="E517" s="16">
        <v>3233.57091</v>
      </c>
      <c r="F517" s="17">
        <f t="shared" ref="F517:F580" si="34">D517/E517</f>
        <v>0.0237227981494923</v>
      </c>
      <c r="G517" s="16">
        <v>2225.77917</v>
      </c>
      <c r="H517" s="16">
        <v>4684.10244</v>
      </c>
      <c r="I517" s="24">
        <v>0.475177304192348</v>
      </c>
      <c r="J517" s="25">
        <v>1324.59531</v>
      </c>
      <c r="K517" s="24">
        <v>0.282785299204515</v>
      </c>
      <c r="L517" s="16">
        <v>276.83821</v>
      </c>
      <c r="M517" s="24">
        <v>0.0591016557699366</v>
      </c>
      <c r="N517" s="26">
        <v>15494</v>
      </c>
      <c r="O517" s="27" t="s">
        <v>176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45941</v>
      </c>
      <c r="AG517" s="33">
        <f t="shared" si="33"/>
        <v>0</v>
      </c>
      <c r="AH517" s="1">
        <v>31</v>
      </c>
      <c r="AI517" s="1">
        <v>607</v>
      </c>
      <c r="AJ517" s="1">
        <v>238</v>
      </c>
    </row>
    <row r="518" s="2" customFormat="1" spans="1:36">
      <c r="A518" s="2" t="str">
        <f>VLOOKUP(B518,'[1]2. ISIC行业分类'!$A$2:$B$102,2,FALSE)</f>
        <v>C2813</v>
      </c>
      <c r="B518" s="14" t="s">
        <v>175</v>
      </c>
      <c r="C518" s="15" t="s">
        <v>39</v>
      </c>
      <c r="D518" s="16">
        <v>73.31129</v>
      </c>
      <c r="E518" s="16">
        <v>2967.40943</v>
      </c>
      <c r="F518" s="17">
        <f t="shared" si="34"/>
        <v>0.0247054852824944</v>
      </c>
      <c r="G518" s="16">
        <v>2018.15803</v>
      </c>
      <c r="H518" s="16">
        <v>4249.65791</v>
      </c>
      <c r="I518" s="24">
        <v>0.474898938394785</v>
      </c>
      <c r="J518" s="25">
        <v>1270.86226</v>
      </c>
      <c r="K518" s="24">
        <v>0.299050485218939</v>
      </c>
      <c r="L518" s="16">
        <v>73.81069</v>
      </c>
      <c r="M518" s="24">
        <v>0.0173686192072811</v>
      </c>
      <c r="N518" s="26">
        <v>14253</v>
      </c>
      <c r="O518" s="27" t="s">
        <v>176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47735</v>
      </c>
      <c r="AG518" s="33">
        <f t="shared" si="33"/>
        <v>0</v>
      </c>
      <c r="AH518" s="1">
        <v>45</v>
      </c>
      <c r="AI518" s="1">
        <v>978</v>
      </c>
      <c r="AJ518" s="1">
        <v>279</v>
      </c>
    </row>
    <row r="519" s="2" customFormat="1" spans="1:36">
      <c r="A519" s="2" t="str">
        <f>VLOOKUP(B519,'[1]2. ISIC行业分类'!$A$2:$B$102,2,FALSE)</f>
        <v>C2813</v>
      </c>
      <c r="B519" s="14" t="s">
        <v>175</v>
      </c>
      <c r="C519" s="15" t="s">
        <v>40</v>
      </c>
      <c r="D519" s="16">
        <v>70.29081</v>
      </c>
      <c r="E519" s="16">
        <v>2832.01087</v>
      </c>
      <c r="F519" s="17">
        <f t="shared" si="34"/>
        <v>0.0248201060047485</v>
      </c>
      <c r="G519" s="16">
        <v>2111.57928</v>
      </c>
      <c r="H519" s="16">
        <v>3677.86332</v>
      </c>
      <c r="I519" s="24">
        <v>0.574132069703993</v>
      </c>
      <c r="J519" s="25">
        <v>1295.94991</v>
      </c>
      <c r="K519" s="24">
        <v>0.352364891580582</v>
      </c>
      <c r="L519" s="16">
        <v>58.08344</v>
      </c>
      <c r="M519" s="24">
        <v>0.0157927130364377</v>
      </c>
      <c r="N519" s="26">
        <v>14005</v>
      </c>
      <c r="O519" s="27" t="s">
        <v>176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1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2</v>
      </c>
      <c r="AF519" s="1">
        <v>50158</v>
      </c>
      <c r="AG519" s="33">
        <f t="shared" si="33"/>
        <v>3.98739981657961e-5</v>
      </c>
      <c r="AH519" s="1">
        <v>23</v>
      </c>
      <c r="AI519" s="1">
        <v>475</v>
      </c>
      <c r="AJ519" s="1">
        <v>119</v>
      </c>
    </row>
    <row r="520" s="2" customFormat="1" spans="1:36">
      <c r="A520" s="2" t="str">
        <f>VLOOKUP(B520,'[1]2. ISIC行业分类'!$A$2:$B$102,2,FALSE)</f>
        <v>C2813</v>
      </c>
      <c r="B520" s="14" t="s">
        <v>175</v>
      </c>
      <c r="C520" s="15" t="s">
        <v>41</v>
      </c>
      <c r="D520" s="16">
        <v>83.11443</v>
      </c>
      <c r="E520" s="16">
        <v>3128.59136</v>
      </c>
      <c r="F520" s="17">
        <f t="shared" si="34"/>
        <v>0.0265660869177878</v>
      </c>
      <c r="G520" s="16">
        <v>2477.93876</v>
      </c>
      <c r="H520" s="16">
        <v>4224.77836</v>
      </c>
      <c r="I520" s="24">
        <v>0.586525149688563</v>
      </c>
      <c r="J520" s="25">
        <v>1406.89132</v>
      </c>
      <c r="K520" s="24">
        <v>0.333009497804756</v>
      </c>
      <c r="L520" s="16">
        <v>85.37186</v>
      </c>
      <c r="M520" s="24">
        <v>0.0202074174608298</v>
      </c>
      <c r="N520" s="26">
        <v>14732</v>
      </c>
      <c r="O520" s="27" t="s">
        <v>176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49218</v>
      </c>
      <c r="AG520" s="33">
        <f t="shared" si="33"/>
        <v>0</v>
      </c>
      <c r="AH520" s="1">
        <v>22</v>
      </c>
      <c r="AI520" s="1">
        <v>566</v>
      </c>
      <c r="AJ520" s="1">
        <v>107</v>
      </c>
    </row>
    <row r="521" s="2" customFormat="1" spans="1:36">
      <c r="A521" s="2" t="str">
        <f>VLOOKUP(B521,'[1]2. ISIC行业分类'!$A$2:$B$102,2,FALSE)</f>
        <v>C2813</v>
      </c>
      <c r="B521" s="14" t="s">
        <v>175</v>
      </c>
      <c r="C521" s="15" t="s">
        <v>42</v>
      </c>
      <c r="D521" s="16">
        <v>87.80845</v>
      </c>
      <c r="E521" s="16">
        <v>3419.75284</v>
      </c>
      <c r="F521" s="17">
        <f t="shared" si="34"/>
        <v>0.0256768410198908</v>
      </c>
      <c r="G521" s="16">
        <v>3310.29717</v>
      </c>
      <c r="H521" s="16">
        <v>4978.14952</v>
      </c>
      <c r="I521" s="24">
        <v>0.664965396619907</v>
      </c>
      <c r="J521" s="25">
        <v>1368.6532</v>
      </c>
      <c r="K521" s="24">
        <v>0.274932119756821</v>
      </c>
      <c r="L521" s="16">
        <v>115.55348</v>
      </c>
      <c r="M521" s="24">
        <v>0.0232121352594488</v>
      </c>
      <c r="N521" s="26">
        <v>15572</v>
      </c>
      <c r="O521" s="27" t="s">
        <v>176</v>
      </c>
      <c r="P521" s="1">
        <v>0</v>
      </c>
      <c r="Q521" s="1">
        <v>1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2</v>
      </c>
      <c r="AF521" s="1">
        <v>52955</v>
      </c>
      <c r="AG521" s="33">
        <f t="shared" si="33"/>
        <v>3.77679161552261e-5</v>
      </c>
      <c r="AH521" s="1">
        <v>21</v>
      </c>
      <c r="AI521" s="1">
        <v>355</v>
      </c>
      <c r="AJ521" s="1">
        <v>46</v>
      </c>
    </row>
    <row r="522" s="2" customFormat="1" spans="1:36">
      <c r="A522" s="2" t="str">
        <f>VLOOKUP(B522,'[1]2. ISIC行业分类'!$A$2:$B$102,2,FALSE)</f>
        <v>C2813</v>
      </c>
      <c r="B522" s="14" t="s">
        <v>175</v>
      </c>
      <c r="C522" s="15" t="s">
        <v>43</v>
      </c>
      <c r="D522" s="16">
        <v>88.38501</v>
      </c>
      <c r="E522" s="16">
        <v>3849.80743</v>
      </c>
      <c r="F522" s="17">
        <f t="shared" si="34"/>
        <v>0.0229582937866583</v>
      </c>
      <c r="G522" s="16">
        <v>3630.08395</v>
      </c>
      <c r="H522" s="16">
        <v>5275.73852</v>
      </c>
      <c r="I522" s="24">
        <v>0.688071240877192</v>
      </c>
      <c r="J522" s="25">
        <v>1564.80707</v>
      </c>
      <c r="K522" s="24">
        <v>0.296604364311823</v>
      </c>
      <c r="L522" s="16">
        <v>159.01042</v>
      </c>
      <c r="M522" s="24">
        <v>0.030139935744958</v>
      </c>
      <c r="N522" s="26">
        <v>16506</v>
      </c>
      <c r="O522" s="27" t="s">
        <v>176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52266</v>
      </c>
      <c r="AG522" s="33">
        <f t="shared" si="33"/>
        <v>0</v>
      </c>
      <c r="AH522" s="1">
        <v>24</v>
      </c>
      <c r="AI522" s="1">
        <v>530</v>
      </c>
      <c r="AJ522" s="1">
        <v>41</v>
      </c>
    </row>
    <row r="523" s="2" customFormat="1" spans="1:36">
      <c r="A523" s="2" t="str">
        <f>VLOOKUP(B523,'[1]2. ISIC行业分类'!$A$2:$B$102,2,FALSE)</f>
        <v>C2813</v>
      </c>
      <c r="B523" s="14" t="s">
        <v>175</v>
      </c>
      <c r="C523" s="15" t="s">
        <v>44</v>
      </c>
      <c r="D523" s="16">
        <v>72.11077</v>
      </c>
      <c r="E523" s="16">
        <v>3354.3939</v>
      </c>
      <c r="F523" s="17">
        <f t="shared" si="34"/>
        <v>0.0214974067297225</v>
      </c>
      <c r="G523" s="16">
        <v>4464.31195</v>
      </c>
      <c r="H523" s="16">
        <v>6066.12037</v>
      </c>
      <c r="I523" s="24">
        <v>0.735941866910234</v>
      </c>
      <c r="J523" s="25">
        <v>1665.78129</v>
      </c>
      <c r="K523" s="24">
        <v>0.274604061310442</v>
      </c>
      <c r="L523" s="16">
        <v>94.48997</v>
      </c>
      <c r="M523" s="24">
        <v>0.015576672442456</v>
      </c>
      <c r="N523" s="26">
        <v>15054</v>
      </c>
      <c r="O523" s="27" t="s">
        <v>176</v>
      </c>
      <c r="P523" s="1">
        <v>11</v>
      </c>
      <c r="Q523" s="1">
        <v>3</v>
      </c>
      <c r="R523" s="1">
        <v>0</v>
      </c>
      <c r="S523" s="1">
        <v>1</v>
      </c>
      <c r="T523" s="1">
        <v>0</v>
      </c>
      <c r="U523" s="1">
        <v>1</v>
      </c>
      <c r="V523" s="1">
        <v>2</v>
      </c>
      <c r="W523" s="1">
        <v>2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39</v>
      </c>
      <c r="AF523" s="1">
        <v>53066</v>
      </c>
      <c r="AG523" s="33">
        <f t="shared" si="33"/>
        <v>0.000734933855952964</v>
      </c>
      <c r="AH523" s="1">
        <v>13</v>
      </c>
      <c r="AI523" s="1">
        <v>156</v>
      </c>
      <c r="AJ523" s="1">
        <v>18</v>
      </c>
    </row>
    <row r="524" s="2" customFormat="1" spans="1:36">
      <c r="A524" s="2" t="str">
        <f>VLOOKUP(B524,'[1]2. ISIC行业分类'!$A$2:$B$102,2,FALSE)</f>
        <v>C2813</v>
      </c>
      <c r="B524" s="14" t="s">
        <v>175</v>
      </c>
      <c r="C524" s="15" t="s">
        <v>45</v>
      </c>
      <c r="D524" s="16">
        <v>70.64425</v>
      </c>
      <c r="E524" s="16">
        <v>3461.23891</v>
      </c>
      <c r="F524" s="17">
        <f t="shared" si="34"/>
        <v>0.0204101051204235</v>
      </c>
      <c r="G524" s="16">
        <v>4092.86866</v>
      </c>
      <c r="H524" s="16">
        <v>5496.21</v>
      </c>
      <c r="I524" s="24">
        <v>0.744671084256242</v>
      </c>
      <c r="J524" s="25">
        <v>1260.18802</v>
      </c>
      <c r="K524" s="24">
        <v>0.229283091439374</v>
      </c>
      <c r="L524" s="16">
        <v>1554.06369</v>
      </c>
      <c r="M524" s="24">
        <v>0.282751876292936</v>
      </c>
      <c r="N524" s="26">
        <v>13816</v>
      </c>
      <c r="O524" s="27" t="s">
        <v>176</v>
      </c>
      <c r="P524" s="1">
        <v>1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2</v>
      </c>
      <c r="AF524" s="1">
        <v>55898</v>
      </c>
      <c r="AG524" s="33">
        <f t="shared" si="33"/>
        <v>3.57794554366883e-5</v>
      </c>
      <c r="AH524" s="1">
        <v>4</v>
      </c>
      <c r="AI524" s="1">
        <v>33</v>
      </c>
      <c r="AJ524" s="1">
        <v>8</v>
      </c>
    </row>
    <row r="525" s="2" customFormat="1" spans="1:36">
      <c r="A525" s="2" t="str">
        <f>VLOOKUP(B525,'[1]2. ISIC行业分类'!$A$2:$B$102,2,FALSE)</f>
        <v>C2410</v>
      </c>
      <c r="B525" s="14" t="s">
        <v>177</v>
      </c>
      <c r="C525" s="15" t="s">
        <v>39</v>
      </c>
      <c r="D525" s="16">
        <v>9.43245</v>
      </c>
      <c r="E525" s="16">
        <v>2910.56204</v>
      </c>
      <c r="F525" s="17">
        <f t="shared" si="34"/>
        <v>0.00324076582816974</v>
      </c>
      <c r="G525" s="16">
        <v>1475.31903</v>
      </c>
      <c r="H525" s="16">
        <v>2290.52403</v>
      </c>
      <c r="I525" s="24">
        <v>0.64409672663421</v>
      </c>
      <c r="J525" s="25">
        <v>3297.42058</v>
      </c>
      <c r="K525" s="24">
        <v>1.43959222292027</v>
      </c>
      <c r="L525" s="16">
        <v>-183.32881</v>
      </c>
      <c r="M525" s="24">
        <v>-0.0800379335029286</v>
      </c>
      <c r="N525" s="26">
        <v>8910</v>
      </c>
      <c r="O525" s="27" t="s">
        <v>133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49184</v>
      </c>
      <c r="AG525" s="33">
        <f t="shared" si="33"/>
        <v>0</v>
      </c>
      <c r="AH525" s="1">
        <v>3</v>
      </c>
      <c r="AI525" s="1">
        <v>61</v>
      </c>
      <c r="AJ525" s="1">
        <v>20</v>
      </c>
    </row>
    <row r="526" s="2" customFormat="1" spans="1:36">
      <c r="A526" s="2" t="str">
        <f>VLOOKUP(B526,'[1]2. ISIC行业分类'!$A$2:$B$102,2,FALSE)</f>
        <v>C2410</v>
      </c>
      <c r="B526" s="14" t="s">
        <v>177</v>
      </c>
      <c r="C526" s="15" t="s">
        <v>40</v>
      </c>
      <c r="D526" s="16">
        <v>7.08416</v>
      </c>
      <c r="E526" s="16">
        <v>2443.47092</v>
      </c>
      <c r="F526" s="17">
        <f t="shared" si="34"/>
        <v>0.00289922009794166</v>
      </c>
      <c r="G526" s="16">
        <v>1456.24406</v>
      </c>
      <c r="H526" s="16">
        <v>2160.87829</v>
      </c>
      <c r="I526" s="24">
        <v>0.673913041164387</v>
      </c>
      <c r="J526" s="25">
        <v>3302.43851</v>
      </c>
      <c r="K526" s="24">
        <v>1.52828529273622</v>
      </c>
      <c r="L526" s="16">
        <v>-86.24512</v>
      </c>
      <c r="M526" s="24">
        <v>-0.0399120674214372</v>
      </c>
      <c r="N526" s="26">
        <v>8877</v>
      </c>
      <c r="O526" s="27" t="s">
        <v>133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1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2</v>
      </c>
      <c r="AF526" s="1">
        <v>46057</v>
      </c>
      <c r="AG526" s="33">
        <f t="shared" si="33"/>
        <v>4.34244523090953e-5</v>
      </c>
      <c r="AH526" s="1">
        <v>5</v>
      </c>
      <c r="AI526" s="1">
        <v>53</v>
      </c>
      <c r="AJ526" s="1">
        <v>16</v>
      </c>
    </row>
    <row r="527" s="2" customFormat="1" spans="1:36">
      <c r="A527" s="2" t="str">
        <f>VLOOKUP(B527,'[1]2. ISIC行业分类'!$A$2:$B$102,2,FALSE)</f>
        <v>C2410</v>
      </c>
      <c r="B527" s="14" t="s">
        <v>177</v>
      </c>
      <c r="C527" s="15" t="s">
        <v>41</v>
      </c>
      <c r="D527" s="16">
        <v>9.71542</v>
      </c>
      <c r="E527" s="16">
        <v>3215.41787</v>
      </c>
      <c r="F527" s="17">
        <f t="shared" si="34"/>
        <v>0.00302151085575698</v>
      </c>
      <c r="G527" s="16">
        <v>1675.79251</v>
      </c>
      <c r="H527" s="16">
        <v>2537.3439</v>
      </c>
      <c r="I527" s="24">
        <v>0.660451470531842</v>
      </c>
      <c r="J527" s="25">
        <v>3690.44188</v>
      </c>
      <c r="K527" s="24">
        <v>1.454450805821</v>
      </c>
      <c r="L527" s="16">
        <v>52.83381</v>
      </c>
      <c r="M527" s="24">
        <v>0.0208224868532799</v>
      </c>
      <c r="N527" s="26">
        <v>8939</v>
      </c>
      <c r="O527" s="27" t="s">
        <v>133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46057</v>
      </c>
      <c r="AG527" s="33">
        <f t="shared" si="33"/>
        <v>0</v>
      </c>
      <c r="AH527" s="1">
        <v>2</v>
      </c>
      <c r="AI527" s="1">
        <v>10</v>
      </c>
      <c r="AJ527" s="1">
        <v>9</v>
      </c>
    </row>
    <row r="528" s="2" customFormat="1" spans="1:36">
      <c r="A528" s="2" t="str">
        <f>VLOOKUP(B528,'[1]2. ISIC行业分类'!$A$2:$B$102,2,FALSE)</f>
        <v>C2410</v>
      </c>
      <c r="B528" s="14" t="s">
        <v>177</v>
      </c>
      <c r="C528" s="15" t="s">
        <v>42</v>
      </c>
      <c r="D528" s="16">
        <v>12.2824</v>
      </c>
      <c r="E528" s="16">
        <v>3792.87841</v>
      </c>
      <c r="F528" s="17">
        <f t="shared" si="34"/>
        <v>0.00323827939425034</v>
      </c>
      <c r="G528" s="16">
        <v>2088.50469</v>
      </c>
      <c r="H528" s="16">
        <v>2898.78635</v>
      </c>
      <c r="I528" s="24">
        <v>0.72047555005218</v>
      </c>
      <c r="J528" s="25">
        <v>3619.99084</v>
      </c>
      <c r="K528" s="24">
        <v>1.24879532429149</v>
      </c>
      <c r="L528" s="16">
        <v>-1.71743</v>
      </c>
      <c r="M528" s="24">
        <v>-0.000592465188060514</v>
      </c>
      <c r="N528" s="26">
        <v>10486</v>
      </c>
      <c r="O528" s="27" t="s">
        <v>133</v>
      </c>
      <c r="P528" s="1">
        <v>0</v>
      </c>
      <c r="Q528" s="1">
        <v>0</v>
      </c>
      <c r="R528" s="1">
        <v>0</v>
      </c>
      <c r="S528" s="1">
        <v>0</v>
      </c>
      <c r="T528" s="1">
        <v>2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4</v>
      </c>
      <c r="AF528" s="1">
        <v>49863</v>
      </c>
      <c r="AG528" s="33">
        <f t="shared" si="33"/>
        <v>8.02198022581874e-5</v>
      </c>
      <c r="AH528" s="1">
        <v>3</v>
      </c>
      <c r="AI528" s="1">
        <v>15</v>
      </c>
      <c r="AJ528" s="1">
        <v>11</v>
      </c>
    </row>
    <row r="529" s="2" customFormat="1" spans="1:36">
      <c r="A529" s="2" t="str">
        <f>VLOOKUP(B529,'[1]2. ISIC行业分类'!$A$2:$B$102,2,FALSE)</f>
        <v>C2410</v>
      </c>
      <c r="B529" s="14" t="s">
        <v>177</v>
      </c>
      <c r="C529" s="15" t="s">
        <v>43</v>
      </c>
      <c r="D529" s="16">
        <v>16.68055</v>
      </c>
      <c r="E529" s="16">
        <v>3345.07912</v>
      </c>
      <c r="F529" s="17">
        <f t="shared" si="34"/>
        <v>0.00498659356075261</v>
      </c>
      <c r="G529" s="16">
        <v>1947.48064</v>
      </c>
      <c r="H529" s="16">
        <v>2153.63034</v>
      </c>
      <c r="I529" s="24">
        <v>0.904278048014498</v>
      </c>
      <c r="J529" s="25">
        <v>3733.5877</v>
      </c>
      <c r="K529" s="24">
        <v>1.7336251401436</v>
      </c>
      <c r="L529" s="16">
        <v>-584.44619</v>
      </c>
      <c r="M529" s="24">
        <v>-0.271377208588174</v>
      </c>
      <c r="N529" s="26">
        <v>10318</v>
      </c>
      <c r="O529" s="27" t="s">
        <v>133</v>
      </c>
      <c r="P529" s="1">
        <v>0</v>
      </c>
      <c r="Q529" s="1">
        <v>0</v>
      </c>
      <c r="R529" s="1">
        <v>0</v>
      </c>
      <c r="S529" s="1">
        <v>0</v>
      </c>
      <c r="T529" s="1">
        <v>2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4</v>
      </c>
      <c r="AF529" s="1">
        <v>50455</v>
      </c>
      <c r="AG529" s="33">
        <f t="shared" si="33"/>
        <v>7.92785650579725e-5</v>
      </c>
      <c r="AH529" s="1">
        <v>1</v>
      </c>
      <c r="AI529" s="1">
        <v>6</v>
      </c>
      <c r="AJ529" s="1">
        <v>2</v>
      </c>
    </row>
    <row r="530" s="2" customFormat="1" spans="1:36">
      <c r="A530" s="2" t="str">
        <f>VLOOKUP(B530,'[1]2. ISIC行业分类'!$A$2:$B$102,2,FALSE)</f>
        <v>J6110</v>
      </c>
      <c r="B530" s="14" t="s">
        <v>178</v>
      </c>
      <c r="C530" s="15" t="s">
        <v>37</v>
      </c>
      <c r="D530" s="16">
        <v>19.674</v>
      </c>
      <c r="E530" s="16">
        <v>11781.22735</v>
      </c>
      <c r="F530" s="17">
        <f t="shared" si="34"/>
        <v>0.00166994485510884</v>
      </c>
      <c r="G530" s="16">
        <v>15578.44084</v>
      </c>
      <c r="H530" s="16">
        <v>21101.11137</v>
      </c>
      <c r="I530" s="24">
        <v>0.738275845610117</v>
      </c>
      <c r="J530" s="25">
        <v>32872.27188</v>
      </c>
      <c r="K530" s="24">
        <v>1.55784552309104</v>
      </c>
      <c r="L530" s="16">
        <v>1705.32335</v>
      </c>
      <c r="M530" s="24">
        <v>0.0808167551034541</v>
      </c>
      <c r="N530" s="26">
        <v>21125</v>
      </c>
      <c r="O530" s="27" t="s">
        <v>159</v>
      </c>
      <c r="P530" s="1">
        <v>0</v>
      </c>
      <c r="Q530" s="1">
        <v>0</v>
      </c>
      <c r="R530" s="1">
        <v>0</v>
      </c>
      <c r="S530" s="1">
        <v>0</v>
      </c>
      <c r="T530" s="1">
        <v>2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4</v>
      </c>
      <c r="AF530" s="1">
        <v>66401</v>
      </c>
      <c r="AG530" s="33">
        <f t="shared" si="33"/>
        <v>6.02400566256532e-5</v>
      </c>
      <c r="AH530" s="1">
        <v>2</v>
      </c>
      <c r="AI530" s="1">
        <v>43</v>
      </c>
      <c r="AJ530" s="1">
        <v>12</v>
      </c>
    </row>
    <row r="531" s="2" customFormat="1" spans="1:36">
      <c r="A531" s="2" t="str">
        <f>VLOOKUP(B531,'[1]2. ISIC行业分类'!$A$2:$B$102,2,FALSE)</f>
        <v>J6110</v>
      </c>
      <c r="B531" s="14" t="s">
        <v>178</v>
      </c>
      <c r="C531" s="15" t="s">
        <v>39</v>
      </c>
      <c r="D531" s="16">
        <v>18.72</v>
      </c>
      <c r="E531" s="16">
        <v>11663.88669</v>
      </c>
      <c r="F531" s="17">
        <f t="shared" si="34"/>
        <v>0.00160495386293915</v>
      </c>
      <c r="G531" s="16">
        <v>15887.77579</v>
      </c>
      <c r="H531" s="16">
        <v>21123.44063</v>
      </c>
      <c r="I531" s="24">
        <v>0.752139581249648</v>
      </c>
      <c r="J531" s="25">
        <v>32689.44576</v>
      </c>
      <c r="K531" s="24">
        <v>1.54754361908134</v>
      </c>
      <c r="L531" s="16">
        <v>1359.35518</v>
      </c>
      <c r="M531" s="24">
        <v>0.0643529244979822</v>
      </c>
      <c r="N531" s="26">
        <v>21637</v>
      </c>
      <c r="O531" s="27" t="s">
        <v>159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2</v>
      </c>
      <c r="AF531" s="1">
        <v>68173</v>
      </c>
      <c r="AG531" s="33">
        <f t="shared" si="33"/>
        <v>2.93371276018365e-5</v>
      </c>
      <c r="AH531" s="1">
        <v>1</v>
      </c>
      <c r="AI531" s="1">
        <v>17</v>
      </c>
      <c r="AJ531" s="1">
        <v>8</v>
      </c>
    </row>
    <row r="532" s="2" customFormat="1" spans="1:36">
      <c r="A532" s="2" t="str">
        <f>VLOOKUP(B532,'[1]2. ISIC行业分类'!$A$2:$B$102,2,FALSE)</f>
        <v>J6110</v>
      </c>
      <c r="B532" s="14" t="s">
        <v>178</v>
      </c>
      <c r="C532" s="15" t="s">
        <v>40</v>
      </c>
      <c r="D532" s="16">
        <v>14.21</v>
      </c>
      <c r="E532" s="16">
        <v>11462.12763</v>
      </c>
      <c r="F532" s="17">
        <f t="shared" si="34"/>
        <v>0.00123973493043368</v>
      </c>
      <c r="G532" s="16">
        <v>14700.03347</v>
      </c>
      <c r="H532" s="16">
        <v>21120.71511</v>
      </c>
      <c r="I532" s="24">
        <v>0.69600074587626</v>
      </c>
      <c r="J532" s="25">
        <v>33260.15476</v>
      </c>
      <c r="K532" s="24">
        <v>1.57476461316655</v>
      </c>
      <c r="L532" s="16">
        <v>1579.08209</v>
      </c>
      <c r="M532" s="24">
        <v>0.0747646129298129</v>
      </c>
      <c r="N532" s="26">
        <v>21127</v>
      </c>
      <c r="O532" s="27" t="s">
        <v>159</v>
      </c>
      <c r="P532" s="1">
        <v>5</v>
      </c>
      <c r="Q532" s="1">
        <v>0</v>
      </c>
      <c r="R532" s="1">
        <v>0</v>
      </c>
      <c r="S532" s="1">
        <v>0</v>
      </c>
      <c r="T532" s="1">
        <v>0</v>
      </c>
      <c r="U532" s="1">
        <v>1</v>
      </c>
      <c r="V532" s="1">
        <v>0</v>
      </c>
      <c r="W532" s="1">
        <v>0</v>
      </c>
      <c r="X532" s="1">
        <v>1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14</v>
      </c>
      <c r="AF532" s="1">
        <v>70373</v>
      </c>
      <c r="AG532" s="33">
        <f t="shared" si="33"/>
        <v>0.000198939934349822</v>
      </c>
      <c r="AH532" s="1">
        <v>10</v>
      </c>
      <c r="AI532" s="1">
        <v>301</v>
      </c>
      <c r="AJ532" s="1">
        <v>80</v>
      </c>
    </row>
    <row r="533" s="2" customFormat="1" spans="1:36">
      <c r="A533" s="2" t="str">
        <f>VLOOKUP(B533,'[1]2. ISIC行业分类'!$A$2:$B$102,2,FALSE)</f>
        <v>J6110</v>
      </c>
      <c r="B533" s="14" t="s">
        <v>178</v>
      </c>
      <c r="C533" s="15" t="s">
        <v>41</v>
      </c>
      <c r="D533" s="16">
        <v>0</v>
      </c>
      <c r="E533" s="16">
        <v>11966.42587</v>
      </c>
      <c r="F533" s="17">
        <f t="shared" si="34"/>
        <v>0</v>
      </c>
      <c r="G533" s="16">
        <v>14789.23822</v>
      </c>
      <c r="H533" s="16">
        <v>22633.80397</v>
      </c>
      <c r="I533" s="24">
        <v>0.653413727520235</v>
      </c>
      <c r="J533" s="25">
        <v>36061.40207</v>
      </c>
      <c r="K533" s="24">
        <v>1.59325414843204</v>
      </c>
      <c r="L533" s="16">
        <v>1610.98342</v>
      </c>
      <c r="M533" s="24">
        <v>0.07117599066137</v>
      </c>
      <c r="N533" s="26">
        <v>20506</v>
      </c>
      <c r="O533" s="27" t="s">
        <v>159</v>
      </c>
      <c r="P533" s="1">
        <v>9</v>
      </c>
      <c r="Q533" s="1">
        <v>0</v>
      </c>
      <c r="R533" s="1">
        <v>0</v>
      </c>
      <c r="S533" s="1">
        <v>0</v>
      </c>
      <c r="T533" s="1">
        <v>1</v>
      </c>
      <c r="U533" s="1">
        <v>1</v>
      </c>
      <c r="V533" s="1">
        <v>0</v>
      </c>
      <c r="W533" s="1">
        <v>0</v>
      </c>
      <c r="X533" s="1">
        <v>1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24</v>
      </c>
      <c r="AF533" s="1">
        <v>54931</v>
      </c>
      <c r="AG533" s="33">
        <f t="shared" si="33"/>
        <v>0.000436911762028727</v>
      </c>
      <c r="AH533" s="1">
        <v>1</v>
      </c>
      <c r="AI533" s="1">
        <v>13</v>
      </c>
      <c r="AJ533" s="1">
        <v>2</v>
      </c>
    </row>
    <row r="534" s="2" customFormat="1" spans="1:36">
      <c r="A534" s="2" t="str">
        <f>VLOOKUP(B534,'[1]2. ISIC行业分类'!$A$2:$B$102,2,FALSE)</f>
        <v>J6110</v>
      </c>
      <c r="B534" s="14" t="s">
        <v>178</v>
      </c>
      <c r="C534" s="15" t="s">
        <v>42</v>
      </c>
      <c r="D534" s="16">
        <v>0</v>
      </c>
      <c r="E534" s="16">
        <v>11904.95549</v>
      </c>
      <c r="F534" s="17">
        <f t="shared" si="34"/>
        <v>0</v>
      </c>
      <c r="G534" s="16">
        <v>14612.38262</v>
      </c>
      <c r="H534" s="16">
        <v>22954.18514</v>
      </c>
      <c r="I534" s="24">
        <v>0.636589037287864</v>
      </c>
      <c r="J534" s="25">
        <v>35547.17673</v>
      </c>
      <c r="K534" s="24">
        <v>1.54861418574408</v>
      </c>
      <c r="L534" s="16">
        <v>1551.89235</v>
      </c>
      <c r="M534" s="24">
        <v>0.0676082527231895</v>
      </c>
      <c r="N534" s="26">
        <v>19845</v>
      </c>
      <c r="O534" s="27" t="s">
        <v>159</v>
      </c>
      <c r="P534" s="1">
        <v>11</v>
      </c>
      <c r="Q534" s="1">
        <v>0</v>
      </c>
      <c r="R534" s="1">
        <v>0</v>
      </c>
      <c r="S534" s="1">
        <v>7</v>
      </c>
      <c r="T534" s="1">
        <v>0</v>
      </c>
      <c r="U534" s="1">
        <v>1</v>
      </c>
      <c r="V534" s="1">
        <v>1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35</v>
      </c>
      <c r="AF534" s="1">
        <v>57453</v>
      </c>
      <c r="AG534" s="33">
        <f t="shared" si="33"/>
        <v>0.000609193601726629</v>
      </c>
      <c r="AH534" s="1">
        <v>1</v>
      </c>
      <c r="AI534" s="1">
        <v>19</v>
      </c>
      <c r="AJ534" s="1">
        <v>4</v>
      </c>
    </row>
    <row r="535" s="2" customFormat="1" spans="1:36">
      <c r="A535" s="2" t="str">
        <f>VLOOKUP(B535,'[1]2. ISIC行业分类'!$A$2:$B$102,2,FALSE)</f>
        <v>J6110</v>
      </c>
      <c r="B535" s="14" t="s">
        <v>178</v>
      </c>
      <c r="C535" s="15" t="s">
        <v>43</v>
      </c>
      <c r="D535" s="16">
        <v>0</v>
      </c>
      <c r="E535" s="16">
        <v>11825.62546</v>
      </c>
      <c r="F535" s="17">
        <f t="shared" si="34"/>
        <v>0</v>
      </c>
      <c r="G535" s="16">
        <v>15872.13085</v>
      </c>
      <c r="H535" s="16">
        <v>25035.88061</v>
      </c>
      <c r="I535" s="24">
        <v>0.633975337127157</v>
      </c>
      <c r="J535" s="25">
        <v>38478.45617</v>
      </c>
      <c r="K535" s="24">
        <v>1.53693240391275</v>
      </c>
      <c r="L535" s="16">
        <v>1726.39883</v>
      </c>
      <c r="M535" s="24">
        <v>0.0689569844533621</v>
      </c>
      <c r="N535" s="26">
        <v>19317</v>
      </c>
      <c r="O535" s="27" t="s">
        <v>159</v>
      </c>
      <c r="P535" s="1">
        <v>7</v>
      </c>
      <c r="Q535" s="1">
        <v>0</v>
      </c>
      <c r="R535" s="1">
        <v>0</v>
      </c>
      <c r="S535" s="1">
        <v>4</v>
      </c>
      <c r="T535" s="1">
        <v>0</v>
      </c>
      <c r="U535" s="1">
        <v>1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20</v>
      </c>
      <c r="AF535" s="1">
        <v>56836</v>
      </c>
      <c r="AG535" s="33">
        <f t="shared" si="33"/>
        <v>0.000351889647406573</v>
      </c>
      <c r="AH535" s="1">
        <v>5</v>
      </c>
      <c r="AI535" s="1">
        <v>93</v>
      </c>
      <c r="AJ535" s="1">
        <v>34</v>
      </c>
    </row>
    <row r="536" s="2" customFormat="1" spans="1:36">
      <c r="A536" s="2" t="str">
        <f>VLOOKUP(B536,'[1]2. ISIC行业分类'!$A$2:$B$102,2,FALSE)</f>
        <v>J6110</v>
      </c>
      <c r="B536" s="14" t="s">
        <v>178</v>
      </c>
      <c r="C536" s="15" t="s">
        <v>44</v>
      </c>
      <c r="D536" s="16">
        <v>0</v>
      </c>
      <c r="E536" s="16">
        <v>12545.91693</v>
      </c>
      <c r="F536" s="17">
        <f t="shared" si="34"/>
        <v>0</v>
      </c>
      <c r="G536" s="16">
        <v>16695.11161</v>
      </c>
      <c r="H536" s="16">
        <v>27422.43571</v>
      </c>
      <c r="I536" s="24">
        <v>0.608812134215776</v>
      </c>
      <c r="J536" s="25">
        <v>42973.72139</v>
      </c>
      <c r="K536" s="24">
        <v>1.56710081644312</v>
      </c>
      <c r="L536" s="16">
        <v>1729.30206</v>
      </c>
      <c r="M536" s="24">
        <v>0.0630615776909045</v>
      </c>
      <c r="N536" s="26">
        <v>19062</v>
      </c>
      <c r="O536" s="27" t="s">
        <v>159</v>
      </c>
      <c r="P536" s="1">
        <v>6</v>
      </c>
      <c r="Q536" s="1">
        <v>0</v>
      </c>
      <c r="R536" s="1">
        <v>0</v>
      </c>
      <c r="S536" s="1">
        <v>4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16</v>
      </c>
      <c r="AF536" s="1">
        <v>55087</v>
      </c>
      <c r="AG536" s="33">
        <f t="shared" si="33"/>
        <v>0.000290449652368072</v>
      </c>
      <c r="AH536" s="1">
        <v>1</v>
      </c>
      <c r="AI536" s="1">
        <v>11</v>
      </c>
      <c r="AJ536" s="1">
        <v>0</v>
      </c>
    </row>
    <row r="537" s="2" customFormat="1" spans="1:36">
      <c r="A537" s="2" t="str">
        <f>VLOOKUP(B537,'[1]2. ISIC行业分类'!$A$2:$B$102,2,FALSE)</f>
        <v>C2651</v>
      </c>
      <c r="B537" s="14" t="s">
        <v>179</v>
      </c>
      <c r="C537" s="15" t="s">
        <v>37</v>
      </c>
      <c r="D537" s="16">
        <v>39.71471</v>
      </c>
      <c r="E537" s="16">
        <v>402.18853</v>
      </c>
      <c r="F537" s="17">
        <f t="shared" si="34"/>
        <v>0.0987465008015022</v>
      </c>
      <c r="G537" s="16">
        <v>192.34115</v>
      </c>
      <c r="H537" s="16">
        <v>555.95353</v>
      </c>
      <c r="I537" s="24">
        <v>0.345966235703189</v>
      </c>
      <c r="J537" s="25">
        <v>78.68648</v>
      </c>
      <c r="K537" s="24">
        <v>0.141534275355712</v>
      </c>
      <c r="L537" s="16">
        <v>40.48482</v>
      </c>
      <c r="M537" s="24">
        <v>0.0728205107358523</v>
      </c>
      <c r="N537" s="26">
        <v>1162</v>
      </c>
      <c r="O537" s="27" t="s">
        <v>180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2</v>
      </c>
      <c r="AF537" s="1">
        <v>40742</v>
      </c>
      <c r="AG537" s="33">
        <f t="shared" si="33"/>
        <v>4.90893917824358e-5</v>
      </c>
      <c r="AH537" s="1">
        <v>16</v>
      </c>
      <c r="AI537" s="1">
        <v>208</v>
      </c>
      <c r="AJ537" s="1">
        <v>262</v>
      </c>
    </row>
    <row r="538" s="2" customFormat="1" spans="1:36">
      <c r="A538" s="2" t="str">
        <f>VLOOKUP(B538,'[1]2. ISIC行业分类'!$A$2:$B$102,2,FALSE)</f>
        <v>C2651</v>
      </c>
      <c r="B538" s="14" t="s">
        <v>179</v>
      </c>
      <c r="C538" s="15" t="s">
        <v>39</v>
      </c>
      <c r="D538" s="16">
        <v>39.80883</v>
      </c>
      <c r="E538" s="16">
        <v>439.76289</v>
      </c>
      <c r="F538" s="17">
        <f t="shared" si="34"/>
        <v>0.090523395459767</v>
      </c>
      <c r="G538" s="16">
        <v>200.56632</v>
      </c>
      <c r="H538" s="16">
        <v>640.70675</v>
      </c>
      <c r="I538" s="24">
        <v>0.313039186804259</v>
      </c>
      <c r="J538" s="25">
        <v>82.96961</v>
      </c>
      <c r="K538" s="24">
        <v>0.129497012478798</v>
      </c>
      <c r="L538" s="16">
        <v>57.07794</v>
      </c>
      <c r="M538" s="24">
        <v>0.0890859039646453</v>
      </c>
      <c r="N538" s="26">
        <v>1368</v>
      </c>
      <c r="O538" s="27" t="s">
        <v>180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6</v>
      </c>
      <c r="AF538" s="1">
        <v>38368</v>
      </c>
      <c r="AG538" s="33">
        <f t="shared" si="33"/>
        <v>0.000156380316930776</v>
      </c>
      <c r="AH538" s="1">
        <v>13</v>
      </c>
      <c r="AI538" s="1">
        <v>257</v>
      </c>
      <c r="AJ538" s="1">
        <v>165</v>
      </c>
    </row>
    <row r="539" s="2" customFormat="1" spans="1:36">
      <c r="A539" s="2" t="str">
        <f>VLOOKUP(B539,'[1]2. ISIC行业分类'!$A$2:$B$102,2,FALSE)</f>
        <v>C2651</v>
      </c>
      <c r="B539" s="14" t="s">
        <v>179</v>
      </c>
      <c r="C539" s="15" t="s">
        <v>40</v>
      </c>
      <c r="D539" s="16">
        <v>46.35846</v>
      </c>
      <c r="E539" s="16">
        <v>498.36283</v>
      </c>
      <c r="F539" s="17">
        <f t="shared" si="34"/>
        <v>0.0930215040315105</v>
      </c>
      <c r="G539" s="16">
        <v>245.20664</v>
      </c>
      <c r="H539" s="16">
        <v>724.72484</v>
      </c>
      <c r="I539" s="24">
        <v>0.338344467398137</v>
      </c>
      <c r="J539" s="25">
        <v>82.66554</v>
      </c>
      <c r="K539" s="24">
        <v>0.114064725586058</v>
      </c>
      <c r="L539" s="16">
        <v>53.6947</v>
      </c>
      <c r="M539" s="24">
        <v>0.07408977454119</v>
      </c>
      <c r="N539" s="26">
        <v>1447</v>
      </c>
      <c r="O539" s="27" t="s">
        <v>180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6</v>
      </c>
      <c r="AF539" s="1">
        <v>39943</v>
      </c>
      <c r="AG539" s="33">
        <f t="shared" si="33"/>
        <v>0.000150214055028415</v>
      </c>
      <c r="AH539" s="1">
        <v>8</v>
      </c>
      <c r="AI539" s="1">
        <v>218</v>
      </c>
      <c r="AJ539" s="1">
        <v>62</v>
      </c>
    </row>
    <row r="540" s="2" customFormat="1" spans="1:36">
      <c r="A540" s="2" t="str">
        <f>VLOOKUP(B540,'[1]2. ISIC行业分类'!$A$2:$B$102,2,FALSE)</f>
        <v>C2651</v>
      </c>
      <c r="B540" s="14" t="s">
        <v>179</v>
      </c>
      <c r="C540" s="15" t="s">
        <v>41</v>
      </c>
      <c r="D540" s="16">
        <v>51.73822</v>
      </c>
      <c r="E540" s="16">
        <v>562.87863</v>
      </c>
      <c r="F540" s="17">
        <f t="shared" si="34"/>
        <v>0.0919171864812135</v>
      </c>
      <c r="G540" s="16">
        <v>260.46626</v>
      </c>
      <c r="H540" s="16">
        <v>824.94767</v>
      </c>
      <c r="I540" s="24">
        <v>0.315736706062822</v>
      </c>
      <c r="J540" s="25">
        <v>92.49508</v>
      </c>
      <c r="K540" s="24">
        <v>0.112122360440148</v>
      </c>
      <c r="L540" s="16">
        <v>67.65104</v>
      </c>
      <c r="M540" s="24">
        <v>0.0820064623008148</v>
      </c>
      <c r="N540" s="26">
        <v>1482</v>
      </c>
      <c r="O540" s="27" t="s">
        <v>180</v>
      </c>
      <c r="P540" s="1">
        <v>1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10</v>
      </c>
      <c r="AF540" s="1">
        <v>41893</v>
      </c>
      <c r="AG540" s="33">
        <f t="shared" si="33"/>
        <v>0.000238703363330389</v>
      </c>
      <c r="AH540" s="1">
        <v>23</v>
      </c>
      <c r="AI540" s="1">
        <v>960</v>
      </c>
      <c r="AJ540" s="1">
        <v>109</v>
      </c>
    </row>
    <row r="541" s="2" customFormat="1" spans="1:36">
      <c r="A541" s="2" t="str">
        <f>VLOOKUP(B541,'[1]2. ISIC行业分类'!$A$2:$B$102,2,FALSE)</f>
        <v>C2651</v>
      </c>
      <c r="B541" s="14" t="s">
        <v>179</v>
      </c>
      <c r="C541" s="15" t="s">
        <v>42</v>
      </c>
      <c r="D541" s="16">
        <v>51.91878</v>
      </c>
      <c r="E541" s="16">
        <v>603.47474</v>
      </c>
      <c r="F541" s="17">
        <f t="shared" si="34"/>
        <v>0.0860330624609076</v>
      </c>
      <c r="G541" s="16">
        <v>249.26013</v>
      </c>
      <c r="H541" s="16">
        <v>871.6523</v>
      </c>
      <c r="I541" s="24">
        <v>0.285962797321822</v>
      </c>
      <c r="J541" s="25">
        <v>99.90345</v>
      </c>
      <c r="K541" s="24">
        <v>0.114613877574808</v>
      </c>
      <c r="L541" s="16">
        <v>71.84845</v>
      </c>
      <c r="M541" s="24">
        <v>0.0824278786392235</v>
      </c>
      <c r="N541" s="26">
        <v>1662</v>
      </c>
      <c r="O541" s="27" t="s">
        <v>180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1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10</v>
      </c>
      <c r="AF541" s="1">
        <v>46501</v>
      </c>
      <c r="AG541" s="33">
        <f t="shared" si="33"/>
        <v>0.000215049138728199</v>
      </c>
      <c r="AH541" s="1">
        <v>13</v>
      </c>
      <c r="AI541" s="1">
        <v>266</v>
      </c>
      <c r="AJ541" s="1">
        <v>40</v>
      </c>
    </row>
    <row r="542" s="2" customFormat="1" spans="1:36">
      <c r="A542" s="2" t="str">
        <f>VLOOKUP(B542,'[1]2. ISIC行业分类'!$A$2:$B$102,2,FALSE)</f>
        <v>C2651</v>
      </c>
      <c r="B542" s="14" t="s">
        <v>179</v>
      </c>
      <c r="C542" s="15" t="s">
        <v>43</v>
      </c>
      <c r="D542" s="16">
        <v>61.80446</v>
      </c>
      <c r="E542" s="16">
        <v>657.53802</v>
      </c>
      <c r="F542" s="17">
        <f t="shared" si="34"/>
        <v>0.0939937435100711</v>
      </c>
      <c r="G542" s="16">
        <v>289.83882</v>
      </c>
      <c r="H542" s="16">
        <v>970.34869</v>
      </c>
      <c r="I542" s="24">
        <v>0.298695533870407</v>
      </c>
      <c r="J542" s="25">
        <v>151.63915</v>
      </c>
      <c r="K542" s="24">
        <v>0.156272844558589</v>
      </c>
      <c r="L542" s="16">
        <v>75.54957</v>
      </c>
      <c r="M542" s="24">
        <v>0.0778581666349238</v>
      </c>
      <c r="N542" s="26">
        <v>1932</v>
      </c>
      <c r="O542" s="27" t="s">
        <v>180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1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14</v>
      </c>
      <c r="AF542" s="1">
        <v>52520</v>
      </c>
      <c r="AG542" s="33">
        <f t="shared" si="33"/>
        <v>0.000266565118050267</v>
      </c>
      <c r="AH542" s="1">
        <v>8</v>
      </c>
      <c r="AI542" s="1">
        <v>177</v>
      </c>
      <c r="AJ542" s="1">
        <v>25</v>
      </c>
    </row>
    <row r="543" s="2" customFormat="1" spans="1:36">
      <c r="A543" s="2" t="str">
        <f>VLOOKUP(B543,'[1]2. ISIC行业分类'!$A$2:$B$102,2,FALSE)</f>
        <v>C2651</v>
      </c>
      <c r="B543" s="14" t="s">
        <v>179</v>
      </c>
      <c r="C543" s="15" t="s">
        <v>44</v>
      </c>
      <c r="D543" s="16">
        <v>70.12489</v>
      </c>
      <c r="E543" s="16">
        <v>826.08534</v>
      </c>
      <c r="F543" s="17">
        <f t="shared" si="34"/>
        <v>0.0848881908496282</v>
      </c>
      <c r="G543" s="16">
        <v>423.82142</v>
      </c>
      <c r="H543" s="16">
        <v>1253.03984</v>
      </c>
      <c r="I543" s="24">
        <v>0.338234592764425</v>
      </c>
      <c r="J543" s="25">
        <v>175.35801</v>
      </c>
      <c r="K543" s="24">
        <v>0.139946077053703</v>
      </c>
      <c r="L543" s="16">
        <v>117.1913</v>
      </c>
      <c r="M543" s="24">
        <v>0.0935255977176272</v>
      </c>
      <c r="N543" s="26">
        <v>2050</v>
      </c>
      <c r="O543" s="27" t="s">
        <v>180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1</v>
      </c>
      <c r="W543" s="1">
        <v>1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16</v>
      </c>
      <c r="AF543" s="1">
        <v>60465</v>
      </c>
      <c r="AG543" s="33">
        <f t="shared" si="33"/>
        <v>0.000264615893492103</v>
      </c>
      <c r="AH543" s="1">
        <v>5</v>
      </c>
      <c r="AI543" s="1">
        <v>28</v>
      </c>
      <c r="AJ543" s="1">
        <v>4</v>
      </c>
    </row>
    <row r="544" s="2" customFormat="1" spans="1:36">
      <c r="A544" s="2" t="str">
        <f>VLOOKUP(B544,'[1]2. ISIC行业分类'!$A$2:$B$102,2,FALSE)</f>
        <v>C2651</v>
      </c>
      <c r="B544" s="18" t="s">
        <v>179</v>
      </c>
      <c r="C544" s="19">
        <v>2021</v>
      </c>
      <c r="D544" s="20">
        <v>78.83525</v>
      </c>
      <c r="E544" s="20">
        <v>1038.40787</v>
      </c>
      <c r="F544" s="17">
        <f t="shared" si="34"/>
        <v>0.0759193494941443</v>
      </c>
      <c r="G544" s="20">
        <v>846.07453</v>
      </c>
      <c r="H544" s="20">
        <v>2189.73574</v>
      </c>
      <c r="I544" s="28">
        <v>0.386382025257532</v>
      </c>
      <c r="J544" s="29">
        <v>255.79031</v>
      </c>
      <c r="K544" s="28">
        <v>0.116813323784906</v>
      </c>
      <c r="L544" s="20">
        <v>133.4551</v>
      </c>
      <c r="M544" s="28">
        <v>0.0609457559477017</v>
      </c>
      <c r="N544" s="30">
        <v>3291</v>
      </c>
      <c r="O544" s="31" t="s">
        <v>180</v>
      </c>
      <c r="P544" s="1">
        <v>1</v>
      </c>
      <c r="Q544" s="1">
        <v>0</v>
      </c>
      <c r="R544" s="1">
        <v>0</v>
      </c>
      <c r="S544" s="1">
        <v>1</v>
      </c>
      <c r="T544" s="1">
        <v>0</v>
      </c>
      <c r="U544" s="1">
        <v>0</v>
      </c>
      <c r="V544" s="1">
        <v>0</v>
      </c>
      <c r="W544" s="1">
        <v>1</v>
      </c>
      <c r="X544" s="1">
        <v>0</v>
      </c>
      <c r="Y544" s="1">
        <v>0</v>
      </c>
      <c r="Z544" s="1">
        <v>0</v>
      </c>
      <c r="AA544" s="1">
        <v>1</v>
      </c>
      <c r="AB544" s="1">
        <v>0</v>
      </c>
      <c r="AC544" s="1">
        <v>0</v>
      </c>
      <c r="AD544" s="1">
        <v>0</v>
      </c>
      <c r="AE544" s="1">
        <v>33</v>
      </c>
      <c r="AF544" s="1">
        <v>64763</v>
      </c>
      <c r="AG544" s="33">
        <f t="shared" si="33"/>
        <v>0.00050955020613622</v>
      </c>
      <c r="AH544" s="2">
        <v>0</v>
      </c>
      <c r="AI544" s="2">
        <v>0</v>
      </c>
      <c r="AJ544" s="2">
        <v>0</v>
      </c>
    </row>
    <row r="545" s="2" customFormat="1" spans="1:36">
      <c r="A545" s="2" t="str">
        <f>VLOOKUP(B545,'[1]2. ISIC行业分类'!$A$2:$B$102,2,FALSE)</f>
        <v>C2651</v>
      </c>
      <c r="B545" s="14" t="s">
        <v>179</v>
      </c>
      <c r="C545" s="15" t="s">
        <v>48</v>
      </c>
      <c r="D545" s="16">
        <v>84.23546</v>
      </c>
      <c r="E545" s="16">
        <v>1237.4804</v>
      </c>
      <c r="F545" s="17">
        <f t="shared" si="34"/>
        <v>0.0680701367068117</v>
      </c>
      <c r="G545" s="16">
        <v>820.24831</v>
      </c>
      <c r="H545" s="16">
        <v>2288.57755</v>
      </c>
      <c r="I545" s="24">
        <v>0.35840966367952</v>
      </c>
      <c r="J545" s="25">
        <v>266.31555</v>
      </c>
      <c r="K545" s="24">
        <v>0.116367282375902</v>
      </c>
      <c r="L545" s="16">
        <v>130.99376</v>
      </c>
      <c r="M545" s="24">
        <v>0.0572380691228925</v>
      </c>
      <c r="N545" s="26">
        <v>3332</v>
      </c>
      <c r="O545" s="27" t="s">
        <v>180</v>
      </c>
      <c r="P545" s="1">
        <v>0</v>
      </c>
      <c r="Q545" s="1">
        <v>0</v>
      </c>
      <c r="R545" s="1">
        <v>0</v>
      </c>
      <c r="S545" s="1">
        <v>1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1</v>
      </c>
      <c r="AB545" s="1">
        <v>0</v>
      </c>
      <c r="AC545" s="1">
        <v>0</v>
      </c>
      <c r="AD545" s="1">
        <v>0</v>
      </c>
      <c r="AE545" s="1">
        <v>15</v>
      </c>
      <c r="AF545" s="1">
        <v>57911</v>
      </c>
      <c r="AG545" s="33">
        <f t="shared" si="33"/>
        <v>0.000259018148538274</v>
      </c>
      <c r="AH545" s="1">
        <v>1</v>
      </c>
      <c r="AI545" s="1">
        <v>3</v>
      </c>
      <c r="AJ545" s="1">
        <v>0</v>
      </c>
    </row>
    <row r="546" s="2" customFormat="1" spans="1:36">
      <c r="A546" s="2" t="str">
        <f>VLOOKUP(B546,'[1]2. ISIC行业分类'!$A$2:$B$102,2,FALSE)</f>
        <v>C2652</v>
      </c>
      <c r="B546" s="14" t="s">
        <v>181</v>
      </c>
      <c r="C546" s="15" t="s">
        <v>37</v>
      </c>
      <c r="D546" s="16">
        <v>204.391</v>
      </c>
      <c r="E546" s="16">
        <v>8767.2143</v>
      </c>
      <c r="F546" s="17">
        <f t="shared" si="34"/>
        <v>0.0233131064219566</v>
      </c>
      <c r="G546" s="16">
        <v>2086.85673</v>
      </c>
      <c r="H546" s="16">
        <v>12832.20584</v>
      </c>
      <c r="I546" s="24">
        <v>0.162626500542482</v>
      </c>
      <c r="J546" s="25">
        <v>6116.61432</v>
      </c>
      <c r="K546" s="24">
        <v>0.476661175503712</v>
      </c>
      <c r="L546" s="16">
        <v>1393.25119</v>
      </c>
      <c r="M546" s="24">
        <v>0.10857456678703</v>
      </c>
      <c r="N546" s="26">
        <v>35623</v>
      </c>
      <c r="O546" s="27" t="s">
        <v>182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77284</v>
      </c>
      <c r="AG546" s="33">
        <f t="shared" si="33"/>
        <v>0</v>
      </c>
      <c r="AH546" s="1">
        <v>157</v>
      </c>
      <c r="AI546" s="1">
        <v>1529</v>
      </c>
      <c r="AJ546" s="1">
        <v>951</v>
      </c>
    </row>
    <row r="547" s="2" customFormat="1" spans="1:36">
      <c r="A547" s="2" t="str">
        <f>VLOOKUP(B547,'[1]2. ISIC行业分类'!$A$2:$B$102,2,FALSE)</f>
        <v>C2652</v>
      </c>
      <c r="B547" s="14" t="s">
        <v>181</v>
      </c>
      <c r="C547" s="15" t="s">
        <v>39</v>
      </c>
      <c r="D547" s="16">
        <v>213.2</v>
      </c>
      <c r="E547" s="16">
        <v>8440.78665</v>
      </c>
      <c r="F547" s="17">
        <f t="shared" si="34"/>
        <v>0.0252583093069886</v>
      </c>
      <c r="G547" s="16">
        <v>2025.54909</v>
      </c>
      <c r="H547" s="16">
        <v>13253.9627</v>
      </c>
      <c r="I547" s="24">
        <v>0.152825923525498</v>
      </c>
      <c r="J547" s="25">
        <v>6394.26294</v>
      </c>
      <c r="K547" s="24">
        <v>0.482441597636305</v>
      </c>
      <c r="L547" s="16">
        <v>1087.6839</v>
      </c>
      <c r="M547" s="24">
        <v>0.0820648076820074</v>
      </c>
      <c r="N547" s="26">
        <v>36313</v>
      </c>
      <c r="O547" s="27" t="s">
        <v>182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4</v>
      </c>
      <c r="AF547" s="1">
        <v>79006</v>
      </c>
      <c r="AG547" s="33">
        <f t="shared" si="33"/>
        <v>5.06290661468749e-5</v>
      </c>
      <c r="AH547" s="1">
        <v>171</v>
      </c>
      <c r="AI547" s="1">
        <v>1610</v>
      </c>
      <c r="AJ547" s="1">
        <v>778</v>
      </c>
    </row>
    <row r="548" s="2" customFormat="1" spans="1:36">
      <c r="A548" s="2" t="str">
        <f>VLOOKUP(B548,'[1]2. ISIC行业分类'!$A$2:$B$102,2,FALSE)</f>
        <v>C2652</v>
      </c>
      <c r="B548" s="14" t="s">
        <v>181</v>
      </c>
      <c r="C548" s="15" t="s">
        <v>40</v>
      </c>
      <c r="D548" s="16">
        <v>222.285</v>
      </c>
      <c r="E548" s="16">
        <v>7435.6652</v>
      </c>
      <c r="F548" s="17">
        <f t="shared" si="34"/>
        <v>0.0298944336547052</v>
      </c>
      <c r="G548" s="16">
        <v>2001.41763</v>
      </c>
      <c r="H548" s="16">
        <v>12902.40013</v>
      </c>
      <c r="I548" s="24">
        <v>0.155119792428884</v>
      </c>
      <c r="J548" s="25">
        <v>6621.51253</v>
      </c>
      <c r="K548" s="24">
        <v>0.513200060708395</v>
      </c>
      <c r="L548" s="16">
        <v>565.08299</v>
      </c>
      <c r="M548" s="24">
        <v>0.0437967342747415</v>
      </c>
      <c r="N548" s="26">
        <v>35705</v>
      </c>
      <c r="O548" s="27" t="s">
        <v>182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80122</v>
      </c>
      <c r="AG548" s="33">
        <f t="shared" si="33"/>
        <v>0</v>
      </c>
      <c r="AH548" s="1">
        <v>189</v>
      </c>
      <c r="AI548" s="1">
        <v>1998</v>
      </c>
      <c r="AJ548" s="1">
        <v>787</v>
      </c>
    </row>
    <row r="549" s="2" customFormat="1" spans="1:36">
      <c r="A549" s="2" t="str">
        <f>VLOOKUP(B549,'[1]2. ISIC行业分类'!$A$2:$B$102,2,FALSE)</f>
        <v>C2652</v>
      </c>
      <c r="B549" s="14" t="s">
        <v>181</v>
      </c>
      <c r="C549" s="15" t="s">
        <v>41</v>
      </c>
      <c r="D549" s="16">
        <v>225.42</v>
      </c>
      <c r="E549" s="16">
        <v>8197.54556</v>
      </c>
      <c r="F549" s="17">
        <f t="shared" si="34"/>
        <v>0.0274984747995716</v>
      </c>
      <c r="G549" s="16">
        <v>2247.16795</v>
      </c>
      <c r="H549" s="16">
        <v>13830.857</v>
      </c>
      <c r="I549" s="24">
        <v>0.162474960879141</v>
      </c>
      <c r="J549" s="25">
        <v>7293.54786</v>
      </c>
      <c r="K549" s="24">
        <v>0.527338823617365</v>
      </c>
      <c r="L549" s="16">
        <v>752.1343</v>
      </c>
      <c r="M549" s="24">
        <v>0.0543808890511991</v>
      </c>
      <c r="N549" s="26">
        <v>35360</v>
      </c>
      <c r="O549" s="27" t="s">
        <v>182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81730</v>
      </c>
      <c r="AG549" s="33">
        <f t="shared" si="33"/>
        <v>0</v>
      </c>
      <c r="AH549" s="1">
        <v>221</v>
      </c>
      <c r="AI549" s="1">
        <v>2270</v>
      </c>
      <c r="AJ549" s="1">
        <v>658</v>
      </c>
    </row>
    <row r="550" s="2" customFormat="1" spans="1:36">
      <c r="A550" s="2" t="str">
        <f>VLOOKUP(B550,'[1]2. ISIC行业分类'!$A$2:$B$102,2,FALSE)</f>
        <v>C2652</v>
      </c>
      <c r="B550" s="14" t="s">
        <v>181</v>
      </c>
      <c r="C550" s="15" t="s">
        <v>42</v>
      </c>
      <c r="D550" s="16">
        <v>229.5</v>
      </c>
      <c r="E550" s="16">
        <v>8613.15501</v>
      </c>
      <c r="F550" s="17">
        <f t="shared" si="34"/>
        <v>0.0266452884841324</v>
      </c>
      <c r="G550" s="16">
        <v>2425.91162</v>
      </c>
      <c r="H550" s="16">
        <v>13883.69446</v>
      </c>
      <c r="I550" s="24">
        <v>0.174730985833003</v>
      </c>
      <c r="J550" s="25">
        <v>7441.35941</v>
      </c>
      <c r="K550" s="24">
        <v>0.535978332816177</v>
      </c>
      <c r="L550" s="16">
        <v>858.77475</v>
      </c>
      <c r="M550" s="24">
        <v>0.0618549156691828</v>
      </c>
      <c r="N550" s="26">
        <v>37123</v>
      </c>
      <c r="O550" s="27" t="s">
        <v>182</v>
      </c>
      <c r="P550" s="1">
        <v>0</v>
      </c>
      <c r="Q550" s="1">
        <v>0</v>
      </c>
      <c r="R550" s="1">
        <v>0</v>
      </c>
      <c r="S550" s="1">
        <v>1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1</v>
      </c>
      <c r="AF550" s="1">
        <v>81061</v>
      </c>
      <c r="AG550" s="33">
        <f t="shared" si="33"/>
        <v>1.23363886455879e-5</v>
      </c>
      <c r="AH550" s="1">
        <v>209</v>
      </c>
      <c r="AI550" s="1">
        <v>1942</v>
      </c>
      <c r="AJ550" s="1">
        <v>457</v>
      </c>
    </row>
    <row r="551" s="2" customFormat="1" spans="1:36">
      <c r="A551" s="2" t="str">
        <f>VLOOKUP(B551,'[1]2. ISIC行业分类'!$A$2:$B$102,2,FALSE)</f>
        <v>C2652</v>
      </c>
      <c r="B551" s="14" t="s">
        <v>181</v>
      </c>
      <c r="C551" s="15" t="s">
        <v>43</v>
      </c>
      <c r="D551" s="16">
        <v>253.51</v>
      </c>
      <c r="E551" s="16">
        <v>8511.18752</v>
      </c>
      <c r="F551" s="17">
        <f t="shared" si="34"/>
        <v>0.0297855028342743</v>
      </c>
      <c r="G551" s="16">
        <v>2270.54487</v>
      </c>
      <c r="H551" s="16">
        <v>14137.47174</v>
      </c>
      <c r="I551" s="24">
        <v>0.16060473271015</v>
      </c>
      <c r="J551" s="25">
        <v>7939.16303</v>
      </c>
      <c r="K551" s="24">
        <v>0.561568799288012</v>
      </c>
      <c r="L551" s="16">
        <v>753.75068</v>
      </c>
      <c r="M551" s="24">
        <v>0.053315804541442</v>
      </c>
      <c r="N551" s="26">
        <v>36089</v>
      </c>
      <c r="O551" s="27" t="s">
        <v>182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81094</v>
      </c>
      <c r="AG551" s="33">
        <f t="shared" si="33"/>
        <v>0</v>
      </c>
      <c r="AH551" s="1">
        <v>213</v>
      </c>
      <c r="AI551" s="1">
        <v>1878</v>
      </c>
      <c r="AJ551" s="1">
        <v>236</v>
      </c>
    </row>
    <row r="552" s="2" customFormat="1" spans="1:36">
      <c r="A552" s="2" t="str">
        <f>VLOOKUP(B552,'[1]2. ISIC行业分类'!$A$2:$B$102,2,FALSE)</f>
        <v>C2652</v>
      </c>
      <c r="B552" s="14" t="s">
        <v>181</v>
      </c>
      <c r="C552" s="15" t="s">
        <v>44</v>
      </c>
      <c r="D552" s="16">
        <v>238.61</v>
      </c>
      <c r="E552" s="16">
        <v>6323.82029</v>
      </c>
      <c r="F552" s="17">
        <f t="shared" si="34"/>
        <v>0.0377319387739907</v>
      </c>
      <c r="G552" s="16">
        <v>2183.6677</v>
      </c>
      <c r="H552" s="16">
        <v>14576.99915</v>
      </c>
      <c r="I552" s="24">
        <v>0.149802279435545</v>
      </c>
      <c r="J552" s="25">
        <v>8627.29585</v>
      </c>
      <c r="K552" s="24">
        <v>0.591843064626919</v>
      </c>
      <c r="L552" s="16">
        <v>-57.6434</v>
      </c>
      <c r="M552" s="24">
        <v>-0.00395440785904141</v>
      </c>
      <c r="N552" s="26">
        <v>32424</v>
      </c>
      <c r="O552" s="27" t="s">
        <v>182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52433</v>
      </c>
      <c r="AG552" s="33">
        <f t="shared" si="33"/>
        <v>0</v>
      </c>
      <c r="AH552" s="1">
        <v>161</v>
      </c>
      <c r="AI552" s="1">
        <v>802</v>
      </c>
      <c r="AJ552" s="1">
        <v>60</v>
      </c>
    </row>
    <row r="553" s="2" customFormat="1" spans="1:36">
      <c r="A553" s="2" t="str">
        <f>VLOOKUP(B553,'[1]2. ISIC行业分类'!$A$2:$B$102,2,FALSE)</f>
        <v>C2652</v>
      </c>
      <c r="B553" s="14" t="s">
        <v>181</v>
      </c>
      <c r="C553" s="15" t="s">
        <v>45</v>
      </c>
      <c r="D553" s="16">
        <v>267.05</v>
      </c>
      <c r="E553" s="16">
        <v>8022.07084</v>
      </c>
      <c r="F553" s="17">
        <f t="shared" si="34"/>
        <v>0.0332894093465771</v>
      </c>
      <c r="G553" s="16">
        <v>2273.99875</v>
      </c>
      <c r="H553" s="16">
        <v>15004.2233</v>
      </c>
      <c r="I553" s="24">
        <v>0.151557245219084</v>
      </c>
      <c r="J553" s="25">
        <v>8380.77687</v>
      </c>
      <c r="K553" s="24">
        <v>0.558561193234174</v>
      </c>
      <c r="L553" s="16">
        <v>839.17465</v>
      </c>
      <c r="M553" s="24">
        <v>0.0559292296056404</v>
      </c>
      <c r="N553" s="26">
        <v>31444</v>
      </c>
      <c r="O553" s="27" t="s">
        <v>182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74166</v>
      </c>
      <c r="AG553" s="33">
        <f t="shared" ref="AG553:AG564" si="35">AE553/AF553</f>
        <v>0</v>
      </c>
      <c r="AH553" s="1">
        <v>140</v>
      </c>
      <c r="AI553" s="1">
        <v>357</v>
      </c>
      <c r="AJ553" s="1">
        <v>20</v>
      </c>
    </row>
    <row r="554" s="2" customFormat="1" spans="1:36">
      <c r="A554" s="2" t="str">
        <f>VLOOKUP(B554,'[1]2. ISIC行业分类'!$A$2:$B$102,2,FALSE)</f>
        <v>C2652</v>
      </c>
      <c r="B554" s="14" t="s">
        <v>181</v>
      </c>
      <c r="C554" s="15" t="s">
        <v>48</v>
      </c>
      <c r="D554" s="16">
        <v>258.3</v>
      </c>
      <c r="E554" s="16">
        <v>8109.9203</v>
      </c>
      <c r="F554" s="17">
        <f t="shared" si="34"/>
        <v>0.0318498814347164</v>
      </c>
      <c r="G554" s="16">
        <v>1992.06203</v>
      </c>
      <c r="H554" s="16">
        <v>15024.81967</v>
      </c>
      <c r="I554" s="24">
        <v>0.132584754676127</v>
      </c>
      <c r="J554" s="25">
        <v>8342.43568</v>
      </c>
      <c r="K554" s="24">
        <v>0.555243647726256</v>
      </c>
      <c r="L554" s="16">
        <v>872.74379</v>
      </c>
      <c r="M554" s="24">
        <v>0.0580868063090703</v>
      </c>
      <c r="N554" s="26">
        <v>32061</v>
      </c>
      <c r="O554" s="27" t="s">
        <v>182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1</v>
      </c>
      <c r="AC554" s="1">
        <v>0</v>
      </c>
      <c r="AD554" s="1">
        <v>0</v>
      </c>
      <c r="AE554" s="1">
        <v>2</v>
      </c>
      <c r="AF554" s="1">
        <v>74785</v>
      </c>
      <c r="AG554" s="33">
        <f t="shared" si="35"/>
        <v>2.67433308818613e-5</v>
      </c>
      <c r="AH554" s="1">
        <v>100</v>
      </c>
      <c r="AI554" s="1">
        <v>35</v>
      </c>
      <c r="AJ554" s="1">
        <v>0</v>
      </c>
    </row>
    <row r="555" s="2" customFormat="1" spans="1:36">
      <c r="A555" s="2" t="str">
        <f>VLOOKUP(B555,'[1]2. ISIC行业分类'!$A$2:$B$102,2,FALSE)</f>
        <v>C2652</v>
      </c>
      <c r="B555" s="14" t="s">
        <v>181</v>
      </c>
      <c r="C555" s="15" t="s">
        <v>71</v>
      </c>
      <c r="D555" s="16">
        <v>297</v>
      </c>
      <c r="E555" s="16">
        <v>9367.50351</v>
      </c>
      <c r="F555" s="17">
        <f t="shared" si="34"/>
        <v>0.0317053524114452</v>
      </c>
      <c r="G555" s="16">
        <v>2340.68831</v>
      </c>
      <c r="H555" s="16">
        <v>16897.84577</v>
      </c>
      <c r="I555" s="24">
        <v>0.13851992389205</v>
      </c>
      <c r="J555" s="25">
        <v>9664.39447</v>
      </c>
      <c r="K555" s="24">
        <v>0.571930564495855</v>
      </c>
      <c r="L555" s="16">
        <v>1031.99297</v>
      </c>
      <c r="M555" s="24">
        <v>0.0610724576402617</v>
      </c>
      <c r="N555" s="26">
        <v>33602</v>
      </c>
      <c r="O555" s="27" t="s">
        <v>182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66538</v>
      </c>
      <c r="AG555" s="33">
        <f t="shared" si="35"/>
        <v>0</v>
      </c>
      <c r="AH555" s="1">
        <v>8</v>
      </c>
      <c r="AI555" s="1">
        <v>0</v>
      </c>
      <c r="AJ555" s="1">
        <v>0</v>
      </c>
    </row>
    <row r="556" s="2" customFormat="1" spans="1:36">
      <c r="A556" s="2" t="str">
        <f>VLOOKUP(B556,'[1]2. ISIC行业分类'!$A$2:$B$102,2,FALSE)</f>
        <v>C2610</v>
      </c>
      <c r="B556" s="14" t="s">
        <v>183</v>
      </c>
      <c r="C556" s="15" t="s">
        <v>37</v>
      </c>
      <c r="D556" s="16">
        <v>50.19228</v>
      </c>
      <c r="E556" s="16">
        <v>271.85008</v>
      </c>
      <c r="F556" s="17">
        <f t="shared" si="34"/>
        <v>0.184632206104188</v>
      </c>
      <c r="G556" s="16">
        <v>89.46505</v>
      </c>
      <c r="H556" s="16">
        <v>303.76399</v>
      </c>
      <c r="I556" s="24">
        <v>0.294521579071963</v>
      </c>
      <c r="J556" s="25">
        <v>39.41975</v>
      </c>
      <c r="K556" s="24">
        <v>0.129770977791015</v>
      </c>
      <c r="L556" s="16">
        <v>34.62692</v>
      </c>
      <c r="M556" s="24">
        <v>0.113992840296837</v>
      </c>
      <c r="N556" s="26">
        <v>603</v>
      </c>
      <c r="O556" s="27" t="s">
        <v>129</v>
      </c>
      <c r="P556" s="1">
        <v>0</v>
      </c>
      <c r="Q556" s="1">
        <v>0</v>
      </c>
      <c r="R556" s="1">
        <v>0</v>
      </c>
      <c r="S556" s="1">
        <v>0</v>
      </c>
      <c r="T556" s="1">
        <v>1</v>
      </c>
      <c r="U556" s="1">
        <v>0</v>
      </c>
      <c r="V556" s="1">
        <v>1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4</v>
      </c>
      <c r="AF556" s="1">
        <v>32397</v>
      </c>
      <c r="AG556" s="33">
        <f t="shared" si="35"/>
        <v>0.000123468222366268</v>
      </c>
      <c r="AH556" s="1">
        <v>5</v>
      </c>
      <c r="AI556" s="1">
        <v>105</v>
      </c>
      <c r="AJ556" s="1">
        <v>40</v>
      </c>
    </row>
    <row r="557" s="2" customFormat="1" spans="1:36">
      <c r="A557" s="2" t="str">
        <f>VLOOKUP(B557,'[1]2. ISIC行业分类'!$A$2:$B$102,2,FALSE)</f>
        <v>C2610</v>
      </c>
      <c r="B557" s="14" t="s">
        <v>183</v>
      </c>
      <c r="C557" s="15" t="s">
        <v>39</v>
      </c>
      <c r="D557" s="16">
        <v>62.19974</v>
      </c>
      <c r="E557" s="16">
        <v>337.9321</v>
      </c>
      <c r="F557" s="17">
        <f t="shared" si="34"/>
        <v>0.184059874749987</v>
      </c>
      <c r="G557" s="16">
        <v>138.35459</v>
      </c>
      <c r="H557" s="16">
        <v>386.37549</v>
      </c>
      <c r="I557" s="24">
        <v>0.35808324694716</v>
      </c>
      <c r="J557" s="25">
        <v>46.02431</v>
      </c>
      <c r="K557" s="24">
        <v>0.119118088986442</v>
      </c>
      <c r="L557" s="16">
        <v>37.05317</v>
      </c>
      <c r="M557" s="24">
        <v>0.0958993801599579</v>
      </c>
      <c r="N557" s="26">
        <v>723</v>
      </c>
      <c r="O557" s="27" t="s">
        <v>129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10178</v>
      </c>
      <c r="AG557" s="33">
        <f t="shared" si="35"/>
        <v>0</v>
      </c>
      <c r="AH557" s="1">
        <v>6</v>
      </c>
      <c r="AI557" s="1">
        <v>91</v>
      </c>
      <c r="AJ557" s="1">
        <v>71</v>
      </c>
    </row>
    <row r="558" s="2" customFormat="1" spans="1:36">
      <c r="A558" s="2" t="str">
        <f>VLOOKUP(B558,'[1]2. ISIC行业分类'!$A$2:$B$102,2,FALSE)</f>
        <v>C2610</v>
      </c>
      <c r="B558" s="14" t="s">
        <v>183</v>
      </c>
      <c r="C558" s="15" t="s">
        <v>40</v>
      </c>
      <c r="D558" s="16">
        <v>62.50369</v>
      </c>
      <c r="E558" s="16">
        <v>354.63388</v>
      </c>
      <c r="F558" s="17">
        <f t="shared" si="34"/>
        <v>0.176248501694198</v>
      </c>
      <c r="G558" s="16">
        <v>137.96787</v>
      </c>
      <c r="H558" s="16">
        <v>418.27167</v>
      </c>
      <c r="I558" s="24">
        <v>0.329852294323448</v>
      </c>
      <c r="J558" s="25">
        <v>53.46236</v>
      </c>
      <c r="K558" s="24">
        <v>0.127817310696658</v>
      </c>
      <c r="L558" s="16">
        <v>45.48229</v>
      </c>
      <c r="M558" s="24">
        <v>0.108738633912261</v>
      </c>
      <c r="N558" s="26">
        <v>847</v>
      </c>
      <c r="O558" s="27" t="s">
        <v>129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1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2</v>
      </c>
      <c r="AF558" s="1">
        <v>11432</v>
      </c>
      <c r="AG558" s="33">
        <f t="shared" si="35"/>
        <v>0.000174947515745276</v>
      </c>
      <c r="AH558" s="1">
        <v>7</v>
      </c>
      <c r="AI558" s="1">
        <v>141</v>
      </c>
      <c r="AJ558" s="1">
        <v>102</v>
      </c>
    </row>
    <row r="559" s="2" customFormat="1" spans="1:36">
      <c r="A559" s="2" t="str">
        <f>VLOOKUP(B559,'[1]2. ISIC行业分类'!$A$2:$B$102,2,FALSE)</f>
        <v>C2610</v>
      </c>
      <c r="B559" s="14" t="s">
        <v>183</v>
      </c>
      <c r="C559" s="15" t="s">
        <v>41</v>
      </c>
      <c r="D559" s="16">
        <v>67.13389</v>
      </c>
      <c r="E559" s="16">
        <v>414.25053</v>
      </c>
      <c r="F559" s="17">
        <f t="shared" si="34"/>
        <v>0.16206108414635</v>
      </c>
      <c r="G559" s="16">
        <v>211.37744</v>
      </c>
      <c r="H559" s="16">
        <v>538.20391</v>
      </c>
      <c r="I559" s="24">
        <v>0.392746013309342</v>
      </c>
      <c r="J559" s="25">
        <v>67.51868</v>
      </c>
      <c r="K559" s="24">
        <v>0.125451857085171</v>
      </c>
      <c r="L559" s="16">
        <v>52.5981</v>
      </c>
      <c r="M559" s="24">
        <v>0.0977289444069628</v>
      </c>
      <c r="N559" s="26">
        <v>964</v>
      </c>
      <c r="O559" s="27" t="s">
        <v>129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2832</v>
      </c>
      <c r="AG559" s="33">
        <f t="shared" si="35"/>
        <v>0</v>
      </c>
      <c r="AH559" s="1">
        <v>3</v>
      </c>
      <c r="AI559" s="1">
        <v>88</v>
      </c>
      <c r="AJ559" s="1">
        <v>27</v>
      </c>
    </row>
    <row r="560" s="2" customFormat="1" spans="1:36">
      <c r="A560" s="2" t="str">
        <f>VLOOKUP(B560,'[1]2. ISIC行业分类'!$A$2:$B$102,2,FALSE)</f>
        <v>C2610</v>
      </c>
      <c r="B560" s="14" t="s">
        <v>183</v>
      </c>
      <c r="C560" s="15" t="s">
        <v>42</v>
      </c>
      <c r="D560" s="16">
        <v>76.14639</v>
      </c>
      <c r="E560" s="16">
        <v>399.67987</v>
      </c>
      <c r="F560" s="17">
        <f t="shared" si="34"/>
        <v>0.190518451679841</v>
      </c>
      <c r="G560" s="16">
        <v>207.481</v>
      </c>
      <c r="H560" s="16">
        <v>562.04521</v>
      </c>
      <c r="I560" s="24">
        <v>0.369153577520926</v>
      </c>
      <c r="J560" s="25">
        <v>72.61169</v>
      </c>
      <c r="K560" s="24">
        <v>0.129191902551754</v>
      </c>
      <c r="L560" s="16">
        <v>39.1083</v>
      </c>
      <c r="M560" s="24">
        <v>0.0695821248970345</v>
      </c>
      <c r="N560" s="26">
        <v>1020</v>
      </c>
      <c r="O560" s="27" t="s">
        <v>129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33695</v>
      </c>
      <c r="AG560" s="33">
        <f t="shared" si="35"/>
        <v>0</v>
      </c>
      <c r="AH560" s="1">
        <v>3</v>
      </c>
      <c r="AI560" s="1">
        <v>68</v>
      </c>
      <c r="AJ560" s="1">
        <v>16</v>
      </c>
    </row>
    <row r="561" s="3" customFormat="1" spans="1:36">
      <c r="A561" s="2" t="str">
        <f>VLOOKUP(B561,'[1]2. ISIC行业分类'!$A$2:$B$102,2,FALSE)</f>
        <v>C2610</v>
      </c>
      <c r="B561" s="34" t="s">
        <v>183</v>
      </c>
      <c r="C561" s="35">
        <v>2019</v>
      </c>
      <c r="D561" s="16">
        <v>86.32614</v>
      </c>
      <c r="E561" s="16">
        <v>397.62827</v>
      </c>
      <c r="F561" s="17">
        <f t="shared" si="34"/>
        <v>0.217102622004215</v>
      </c>
      <c r="G561" s="16">
        <v>241.96843</v>
      </c>
      <c r="H561" s="16">
        <v>605.00676</v>
      </c>
      <c r="I561" s="24">
        <v>0.399943349393319</v>
      </c>
      <c r="J561" s="25">
        <v>107.28247</v>
      </c>
      <c r="K561" s="24">
        <v>0.177324415350334</v>
      </c>
      <c r="L561" s="16">
        <v>13.48698</v>
      </c>
      <c r="M561" s="24">
        <v>0.0222922798416335</v>
      </c>
      <c r="N561" s="26">
        <v>1000</v>
      </c>
      <c r="O561" s="27" t="s">
        <v>129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35578</v>
      </c>
      <c r="AG561" s="43">
        <f t="shared" si="35"/>
        <v>0</v>
      </c>
      <c r="AH561" s="3">
        <v>0</v>
      </c>
      <c r="AI561" s="3">
        <v>0</v>
      </c>
      <c r="AJ561" s="3">
        <v>0</v>
      </c>
    </row>
    <row r="562" s="2" customFormat="1" spans="1:36">
      <c r="A562" s="2" t="str">
        <f>VLOOKUP(B562,'[1]2. ISIC行业分类'!$A$2:$B$102,2,FALSE)</f>
        <v>C2610</v>
      </c>
      <c r="B562" s="14" t="s">
        <v>183</v>
      </c>
      <c r="C562" s="15" t="s">
        <v>44</v>
      </c>
      <c r="D562" s="16">
        <v>97.44335</v>
      </c>
      <c r="E562" s="16">
        <v>376.95733</v>
      </c>
      <c r="F562" s="17">
        <f t="shared" si="34"/>
        <v>0.258499682178882</v>
      </c>
      <c r="G562" s="16">
        <v>265.85702</v>
      </c>
      <c r="H562" s="16">
        <v>585.36536</v>
      </c>
      <c r="I562" s="24">
        <v>0.454172792185721</v>
      </c>
      <c r="J562" s="25">
        <v>127.41452</v>
      </c>
      <c r="K562" s="24">
        <v>0.217666655232213</v>
      </c>
      <c r="L562" s="16">
        <v>-73.04323</v>
      </c>
      <c r="M562" s="24">
        <v>-0.124782289816398</v>
      </c>
      <c r="N562" s="26">
        <v>1000</v>
      </c>
      <c r="O562" s="27" t="s">
        <v>129</v>
      </c>
      <c r="P562" s="1">
        <v>0</v>
      </c>
      <c r="Q562" s="1">
        <v>0</v>
      </c>
      <c r="R562" s="1">
        <v>0</v>
      </c>
      <c r="S562" s="1">
        <v>1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1</v>
      </c>
      <c r="AF562" s="1">
        <v>38983</v>
      </c>
      <c r="AG562" s="33">
        <f t="shared" si="35"/>
        <v>2.56522073724444e-5</v>
      </c>
      <c r="AH562" s="1">
        <v>1</v>
      </c>
      <c r="AI562" s="1">
        <v>21</v>
      </c>
      <c r="AJ562" s="1">
        <v>2</v>
      </c>
    </row>
    <row r="563" s="2" customFormat="1" spans="1:36">
      <c r="A563" s="2" t="str">
        <f>VLOOKUP(B563,'[1]2. ISIC行业分类'!$A$2:$B$102,2,FALSE)</f>
        <v>C2610</v>
      </c>
      <c r="B563" s="14" t="s">
        <v>183</v>
      </c>
      <c r="C563" s="15" t="s">
        <v>45</v>
      </c>
      <c r="D563" s="16">
        <v>116.46537</v>
      </c>
      <c r="E563" s="16">
        <v>454.2041</v>
      </c>
      <c r="F563" s="17">
        <f t="shared" si="34"/>
        <v>0.256416377571228</v>
      </c>
      <c r="G563" s="16">
        <v>222.09498</v>
      </c>
      <c r="H563" s="16">
        <v>553.38577</v>
      </c>
      <c r="I563" s="24">
        <v>0.401338437018357</v>
      </c>
      <c r="J563" s="25">
        <v>129.39634</v>
      </c>
      <c r="K563" s="24">
        <v>0.233826648632472</v>
      </c>
      <c r="L563" s="16">
        <v>16.81531</v>
      </c>
      <c r="M563" s="24">
        <v>0.0303862349044501</v>
      </c>
      <c r="N563" s="26">
        <v>1147</v>
      </c>
      <c r="O563" s="27" t="s">
        <v>129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35849</v>
      </c>
      <c r="AG563" s="33">
        <f t="shared" si="35"/>
        <v>0</v>
      </c>
      <c r="AH563" s="1">
        <v>5</v>
      </c>
      <c r="AI563" s="1">
        <v>25</v>
      </c>
      <c r="AJ563" s="1">
        <v>4</v>
      </c>
    </row>
    <row r="564" s="2" customFormat="1" spans="1:36">
      <c r="A564" s="2" t="str">
        <f>VLOOKUP(B564,'[1]2. ISIC行业分类'!$A$2:$B$102,2,FALSE)</f>
        <v>C2610</v>
      </c>
      <c r="B564" s="14" t="s">
        <v>183</v>
      </c>
      <c r="C564" s="15" t="s">
        <v>48</v>
      </c>
      <c r="D564" s="16">
        <v>120.65494</v>
      </c>
      <c r="E564" s="16">
        <v>674.67529</v>
      </c>
      <c r="F564" s="17">
        <f t="shared" si="34"/>
        <v>0.178834087728335</v>
      </c>
      <c r="G564" s="16">
        <v>277.53253</v>
      </c>
      <c r="H564" s="16">
        <v>723.09473</v>
      </c>
      <c r="I564" s="24">
        <v>0.383812132056335</v>
      </c>
      <c r="J564" s="25">
        <v>125.87734</v>
      </c>
      <c r="K564" s="24">
        <v>0.174081395946559</v>
      </c>
      <c r="L564" s="16">
        <v>110.06305</v>
      </c>
      <c r="M564" s="24">
        <v>0.152211107941556</v>
      </c>
      <c r="N564" s="26">
        <v>0</v>
      </c>
      <c r="O564" s="27" t="s">
        <v>129</v>
      </c>
      <c r="P564" s="1">
        <v>2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6</v>
      </c>
      <c r="AF564" s="1">
        <v>35452</v>
      </c>
      <c r="AG564" s="33">
        <f t="shared" ref="AG564:AG571" si="36">AE564/AF564</f>
        <v>0.000169242920004513</v>
      </c>
      <c r="AH564" s="1">
        <v>1</v>
      </c>
      <c r="AI564" s="1">
        <v>12</v>
      </c>
      <c r="AJ564" s="1">
        <v>0</v>
      </c>
    </row>
    <row r="565" s="2" customFormat="1" spans="1:36">
      <c r="A565" s="2" t="str">
        <f>VLOOKUP(B565,'[1]2. ISIC行业分类'!$A$2:$B$102,2,FALSE)</f>
        <v>C2610</v>
      </c>
      <c r="B565" s="14" t="s">
        <v>183</v>
      </c>
      <c r="C565" s="15" t="s">
        <v>71</v>
      </c>
      <c r="D565" s="16">
        <v>145.72833</v>
      </c>
      <c r="E565" s="16">
        <v>685.11745</v>
      </c>
      <c r="F565" s="17">
        <f t="shared" si="34"/>
        <v>0.212705617117182</v>
      </c>
      <c r="G565" s="16">
        <v>227.11683</v>
      </c>
      <c r="H565" s="16">
        <v>704.35123</v>
      </c>
      <c r="I565" s="24">
        <v>0.322448262069479</v>
      </c>
      <c r="J565" s="25">
        <v>138.62195</v>
      </c>
      <c r="K565" s="24">
        <v>0.196807990240892</v>
      </c>
      <c r="L565" s="16">
        <v>-10.24986</v>
      </c>
      <c r="M565" s="24">
        <v>-0.0145522000437197</v>
      </c>
      <c r="N565" s="26">
        <v>0</v>
      </c>
      <c r="O565" s="27" t="s">
        <v>129</v>
      </c>
      <c r="P565" s="1">
        <v>0</v>
      </c>
      <c r="Q565" s="1">
        <v>1</v>
      </c>
      <c r="R565" s="1">
        <v>0</v>
      </c>
      <c r="S565" s="1">
        <v>1</v>
      </c>
      <c r="T565" s="1">
        <v>1</v>
      </c>
      <c r="U565" s="1">
        <v>0</v>
      </c>
      <c r="V565" s="1">
        <v>1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9</v>
      </c>
      <c r="AF565" s="1">
        <v>35641</v>
      </c>
      <c r="AG565" s="33">
        <f t="shared" si="36"/>
        <v>0.000252518167279257</v>
      </c>
      <c r="AH565" s="1">
        <v>1</v>
      </c>
      <c r="AI565" s="1">
        <v>3</v>
      </c>
      <c r="AJ565" s="1">
        <v>0</v>
      </c>
    </row>
    <row r="566" s="2" customFormat="1" spans="1:15">
      <c r="A566" s="2" t="str">
        <f>VLOOKUP(B566,'[1]2. ISIC行业分类'!$A$2:$B$102,2,FALSE)</f>
        <v>C2750</v>
      </c>
      <c r="B566" s="14" t="s">
        <v>184</v>
      </c>
      <c r="C566" s="15" t="s">
        <v>41</v>
      </c>
      <c r="D566" s="16">
        <v>0</v>
      </c>
      <c r="E566" s="16">
        <v>547.89957</v>
      </c>
      <c r="F566" s="17">
        <f t="shared" si="34"/>
        <v>0</v>
      </c>
      <c r="G566" s="16">
        <v>165.80816</v>
      </c>
      <c r="H566" s="16">
        <v>390.01396</v>
      </c>
      <c r="I566" s="24">
        <v>0.425133910591303</v>
      </c>
      <c r="J566" s="25">
        <v>342.28678</v>
      </c>
      <c r="K566" s="24">
        <v>0.877626995710615</v>
      </c>
      <c r="L566" s="16">
        <v>54.5559</v>
      </c>
      <c r="M566" s="24">
        <v>0.139881916021673</v>
      </c>
      <c r="N566" s="26">
        <v>0</v>
      </c>
      <c r="O566" s="27" t="s">
        <v>185</v>
      </c>
    </row>
    <row r="567" s="2" customFormat="1" spans="1:15">
      <c r="A567" s="2" t="str">
        <f>VLOOKUP(B567,'[1]2. ISIC行业分类'!$A$2:$B$102,2,FALSE)</f>
        <v>C2750</v>
      </c>
      <c r="B567" s="14" t="s">
        <v>184</v>
      </c>
      <c r="C567" s="15" t="s">
        <v>42</v>
      </c>
      <c r="D567" s="16">
        <v>59.364</v>
      </c>
      <c r="E567" s="16">
        <v>547.78243</v>
      </c>
      <c r="F567" s="17">
        <f t="shared" si="34"/>
        <v>0.108371493404781</v>
      </c>
      <c r="G567" s="16">
        <v>183.60604</v>
      </c>
      <c r="H567" s="16">
        <v>416.66734</v>
      </c>
      <c r="I567" s="24">
        <v>0.440653783903485</v>
      </c>
      <c r="J567" s="25">
        <v>352.82634</v>
      </c>
      <c r="K567" s="24">
        <v>0.846781847600534</v>
      </c>
      <c r="L567" s="16">
        <v>41.52913</v>
      </c>
      <c r="M567" s="24">
        <v>0.0996697509336825</v>
      </c>
      <c r="N567" s="26">
        <v>0</v>
      </c>
      <c r="O567" s="27" t="s">
        <v>185</v>
      </c>
    </row>
    <row r="568" s="2" customFormat="1" spans="1:15">
      <c r="A568" s="2" t="str">
        <f>VLOOKUP(B568,'[1]2. ISIC行业分类'!$A$2:$B$102,2,FALSE)</f>
        <v>C2750</v>
      </c>
      <c r="B568" s="14" t="s">
        <v>184</v>
      </c>
      <c r="C568" s="15" t="s">
        <v>43</v>
      </c>
      <c r="D568" s="16">
        <v>61.509</v>
      </c>
      <c r="E568" s="16">
        <v>561.31297</v>
      </c>
      <c r="F568" s="17">
        <f t="shared" si="34"/>
        <v>0.10958057854961</v>
      </c>
      <c r="G568" s="16">
        <v>237.52852</v>
      </c>
      <c r="H568" s="16">
        <v>487.01277</v>
      </c>
      <c r="I568" s="24">
        <v>0.487725445063792</v>
      </c>
      <c r="J568" s="25">
        <v>417.94649</v>
      </c>
      <c r="K568" s="24">
        <v>0.858183841873387</v>
      </c>
      <c r="L568" s="16">
        <v>28.1975</v>
      </c>
      <c r="M568" s="24">
        <v>0.0578988924664132</v>
      </c>
      <c r="N568" s="26">
        <v>1940</v>
      </c>
      <c r="O568" s="27" t="s">
        <v>185</v>
      </c>
    </row>
    <row r="569" s="2" customFormat="1" spans="1:36">
      <c r="A569" s="2" t="str">
        <f>VLOOKUP(B569,'[1]2. ISIC行业分类'!$A$2:$B$102,2,FALSE)</f>
        <v>C2750</v>
      </c>
      <c r="B569" s="14" t="s">
        <v>184</v>
      </c>
      <c r="C569" s="15" t="s">
        <v>44</v>
      </c>
      <c r="D569" s="16">
        <v>63.665</v>
      </c>
      <c r="E569" s="16">
        <v>655.65414</v>
      </c>
      <c r="F569" s="17">
        <f t="shared" si="34"/>
        <v>0.0971014992752124</v>
      </c>
      <c r="G569" s="16">
        <v>182.54987</v>
      </c>
      <c r="H569" s="16">
        <v>626.94886</v>
      </c>
      <c r="I569" s="24">
        <v>0.291171866872842</v>
      </c>
      <c r="J569" s="25">
        <v>516.40237</v>
      </c>
      <c r="K569" s="24">
        <v>0.823675427051578</v>
      </c>
      <c r="L569" s="16">
        <v>48.83526</v>
      </c>
      <c r="M569" s="24">
        <v>0.0778935302633775</v>
      </c>
      <c r="N569" s="26">
        <v>1999</v>
      </c>
      <c r="O569" s="27" t="s">
        <v>185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1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2</v>
      </c>
      <c r="AF569" s="1">
        <v>27120</v>
      </c>
      <c r="AG569" s="33">
        <f t="shared" si="36"/>
        <v>7.37463126843658e-5</v>
      </c>
      <c r="AH569" s="1">
        <v>4</v>
      </c>
      <c r="AI569" s="1">
        <v>27</v>
      </c>
      <c r="AJ569" s="1">
        <v>1</v>
      </c>
    </row>
    <row r="570" s="2" customFormat="1" spans="1:36">
      <c r="A570" s="2" t="str">
        <f>VLOOKUP(B570,'[1]2. ISIC行业分类'!$A$2:$B$102,2,FALSE)</f>
        <v>C2750</v>
      </c>
      <c r="B570" s="14" t="s">
        <v>184</v>
      </c>
      <c r="C570" s="15" t="s">
        <v>45</v>
      </c>
      <c r="D570" s="16">
        <v>66.817</v>
      </c>
      <c r="E570" s="16">
        <v>702.83893</v>
      </c>
      <c r="F570" s="17">
        <f t="shared" si="34"/>
        <v>0.0950673008394683</v>
      </c>
      <c r="G570" s="16">
        <v>183.4721</v>
      </c>
      <c r="H570" s="16">
        <v>675.84603</v>
      </c>
      <c r="I570" s="24">
        <v>0.271470263722641</v>
      </c>
      <c r="J570" s="25">
        <v>531.81075</v>
      </c>
      <c r="K570" s="24">
        <v>0.786881517969411</v>
      </c>
      <c r="L570" s="16">
        <v>60.80232</v>
      </c>
      <c r="M570" s="24">
        <v>0.0899647512910596</v>
      </c>
      <c r="N570" s="26">
        <v>2080</v>
      </c>
      <c r="O570" s="27" t="s">
        <v>185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27948</v>
      </c>
      <c r="AG570" s="33">
        <f t="shared" si="36"/>
        <v>0</v>
      </c>
      <c r="AH570" s="1">
        <v>2</v>
      </c>
      <c r="AI570" s="1">
        <v>4</v>
      </c>
      <c r="AJ570" s="1">
        <v>1</v>
      </c>
    </row>
    <row r="571" s="2" customFormat="1" spans="1:36">
      <c r="A571" s="2" t="str">
        <f>VLOOKUP(B571,'[1]2. ISIC行业分类'!$A$2:$B$102,2,FALSE)</f>
        <v>C2750</v>
      </c>
      <c r="B571" s="14" t="s">
        <v>184</v>
      </c>
      <c r="C571" s="15" t="s">
        <v>48</v>
      </c>
      <c r="D571" s="16">
        <v>57.84442</v>
      </c>
      <c r="E571" s="16">
        <v>688.11901</v>
      </c>
      <c r="F571" s="17">
        <f t="shared" si="34"/>
        <v>0.0840616509054153</v>
      </c>
      <c r="G571" s="16">
        <v>165.49147</v>
      </c>
      <c r="H571" s="16">
        <v>656.27738</v>
      </c>
      <c r="I571" s="24">
        <v>0.252166957209465</v>
      </c>
      <c r="J571" s="25">
        <v>564.75824</v>
      </c>
      <c r="K571" s="24">
        <v>0.860548081056824</v>
      </c>
      <c r="L571" s="16">
        <v>8.58468</v>
      </c>
      <c r="M571" s="24">
        <v>0.0130808713839871</v>
      </c>
      <c r="N571" s="26">
        <v>2193</v>
      </c>
      <c r="O571" s="27" t="s">
        <v>185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27703</v>
      </c>
      <c r="AG571" s="33">
        <f t="shared" si="36"/>
        <v>0</v>
      </c>
      <c r="AH571" s="1">
        <v>8</v>
      </c>
      <c r="AI571" s="1">
        <v>39</v>
      </c>
      <c r="AJ571" s="1">
        <v>0</v>
      </c>
    </row>
    <row r="572" s="2" customFormat="1" spans="1:36">
      <c r="A572" s="2" t="str">
        <f>VLOOKUP(B572,'[1]2. ISIC行业分类'!$A$2:$B$102,2,FALSE)</f>
        <v>J6201</v>
      </c>
      <c r="B572" s="14" t="s">
        <v>186</v>
      </c>
      <c r="C572" s="15" t="s">
        <v>37</v>
      </c>
      <c r="D572" s="16">
        <v>2.0557</v>
      </c>
      <c r="E572" s="16">
        <v>3.46533</v>
      </c>
      <c r="F572" s="17">
        <f t="shared" si="34"/>
        <v>0.593219116216926</v>
      </c>
      <c r="G572" s="16">
        <v>6.45073</v>
      </c>
      <c r="H572" s="16">
        <v>2.88502</v>
      </c>
      <c r="I572" s="24">
        <v>2.2359394388947</v>
      </c>
      <c r="J572" s="25">
        <v>2.73771</v>
      </c>
      <c r="K572" s="24">
        <v>0.94893969539206</v>
      </c>
      <c r="L572" s="16">
        <v>-32.84383</v>
      </c>
      <c r="M572" s="24">
        <v>-11.3842642338701</v>
      </c>
      <c r="N572" s="26">
        <v>14</v>
      </c>
      <c r="O572" s="27" t="s">
        <v>121</v>
      </c>
      <c r="AH572" s="1">
        <v>2</v>
      </c>
      <c r="AI572" s="1">
        <v>28</v>
      </c>
      <c r="AJ572" s="1">
        <v>9</v>
      </c>
    </row>
    <row r="573" s="2" customFormat="1" spans="1:36">
      <c r="A573" s="2" t="str">
        <f>VLOOKUP(B573,'[1]2. ISIC行业分类'!$A$2:$B$102,2,FALSE)</f>
        <v>J6201</v>
      </c>
      <c r="B573" s="14" t="s">
        <v>186</v>
      </c>
      <c r="C573" s="15" t="s">
        <v>39</v>
      </c>
      <c r="D573" s="16">
        <v>0.64512</v>
      </c>
      <c r="E573" s="16">
        <v>2.28715</v>
      </c>
      <c r="F573" s="17">
        <f t="shared" si="34"/>
        <v>0.282062829285355</v>
      </c>
      <c r="G573" s="16">
        <v>9.04518</v>
      </c>
      <c r="H573" s="16">
        <v>0.83213</v>
      </c>
      <c r="I573" s="24">
        <v>10.8699121531491</v>
      </c>
      <c r="J573" s="25">
        <v>2.22006</v>
      </c>
      <c r="K573" s="24">
        <v>2.66792448295338</v>
      </c>
      <c r="L573" s="16">
        <v>-6.15662</v>
      </c>
      <c r="M573" s="24">
        <v>-7.3986276182808</v>
      </c>
      <c r="N573" s="26">
        <v>0</v>
      </c>
      <c r="O573" s="27" t="s">
        <v>121</v>
      </c>
      <c r="P573" s="1">
        <v>0</v>
      </c>
      <c r="Q573" s="1">
        <v>0</v>
      </c>
      <c r="R573" s="1">
        <v>0</v>
      </c>
      <c r="S573" s="1">
        <v>0</v>
      </c>
      <c r="T573" s="1">
        <v>2</v>
      </c>
      <c r="U573" s="1">
        <v>0</v>
      </c>
      <c r="V573" s="1">
        <v>2</v>
      </c>
      <c r="W573" s="1">
        <v>1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10</v>
      </c>
      <c r="AF573" s="1">
        <v>22577</v>
      </c>
      <c r="AG573" s="33">
        <f t="shared" ref="AG573:AG579" si="37">AE573/AF573</f>
        <v>0.00044292864419542</v>
      </c>
      <c r="AH573" s="1">
        <v>7</v>
      </c>
      <c r="AI573" s="1">
        <v>142</v>
      </c>
      <c r="AJ573" s="1">
        <v>136</v>
      </c>
    </row>
    <row r="574" s="2" customFormat="1" spans="1:36">
      <c r="A574" s="2" t="str">
        <f>VLOOKUP(B574,'[1]2. ISIC行业分类'!$A$2:$B$102,2,FALSE)</f>
        <v>J6201</v>
      </c>
      <c r="B574" s="14" t="s">
        <v>186</v>
      </c>
      <c r="C574" s="15" t="s">
        <v>40</v>
      </c>
      <c r="D574" s="16">
        <v>1.438</v>
      </c>
      <c r="E574" s="16">
        <v>10.962</v>
      </c>
      <c r="F574" s="17">
        <f t="shared" si="34"/>
        <v>0.131180441525269</v>
      </c>
      <c r="G574" s="16">
        <v>31.72</v>
      </c>
      <c r="H574" s="16">
        <v>33.632</v>
      </c>
      <c r="I574" s="24">
        <v>0.943149381541389</v>
      </c>
      <c r="J574" s="25">
        <v>7.063</v>
      </c>
      <c r="K574" s="24">
        <v>0.210008325404377</v>
      </c>
      <c r="L574" s="16">
        <v>-35.926</v>
      </c>
      <c r="M574" s="24">
        <v>-1.06820884871551</v>
      </c>
      <c r="N574" s="26">
        <v>0</v>
      </c>
      <c r="O574" s="27" t="s">
        <v>121</v>
      </c>
      <c r="P574" s="1">
        <v>1</v>
      </c>
      <c r="Q574" s="1">
        <v>0</v>
      </c>
      <c r="R574" s="1">
        <v>0</v>
      </c>
      <c r="S574" s="1">
        <v>1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3</v>
      </c>
      <c r="AF574" s="1">
        <v>33411</v>
      </c>
      <c r="AG574" s="33">
        <f t="shared" si="37"/>
        <v>8.97907874652061e-5</v>
      </c>
      <c r="AH574" s="1">
        <v>1</v>
      </c>
      <c r="AI574" s="1">
        <v>14</v>
      </c>
      <c r="AJ574" s="1">
        <v>10</v>
      </c>
    </row>
    <row r="575" s="2" customFormat="1" spans="1:36">
      <c r="A575" s="2" t="str">
        <f>VLOOKUP(B575,'[1]2. ISIC行业分类'!$A$2:$B$102,2,FALSE)</f>
        <v>J6201</v>
      </c>
      <c r="B575" s="14" t="s">
        <v>186</v>
      </c>
      <c r="C575" s="15" t="s">
        <v>41</v>
      </c>
      <c r="D575" s="16">
        <v>5.339</v>
      </c>
      <c r="E575" s="16">
        <v>33.674</v>
      </c>
      <c r="F575" s="17">
        <f t="shared" si="34"/>
        <v>0.158549622854428</v>
      </c>
      <c r="G575" s="16">
        <v>53.55</v>
      </c>
      <c r="H575" s="16">
        <v>67.156</v>
      </c>
      <c r="I575" s="24">
        <v>0.797397105247483</v>
      </c>
      <c r="J575" s="25">
        <v>7.136</v>
      </c>
      <c r="K575" s="24">
        <v>0.106260051224016</v>
      </c>
      <c r="L575" s="16">
        <v>-24.267</v>
      </c>
      <c r="M575" s="24">
        <v>-0.361352671391983</v>
      </c>
      <c r="N575" s="26">
        <v>0</v>
      </c>
      <c r="O575" s="27" t="s">
        <v>121</v>
      </c>
      <c r="P575" s="1">
        <v>4</v>
      </c>
      <c r="Q575" s="1">
        <v>0</v>
      </c>
      <c r="R575" s="1">
        <v>0</v>
      </c>
      <c r="S575" s="1">
        <v>4</v>
      </c>
      <c r="T575" s="1">
        <v>1</v>
      </c>
      <c r="U575" s="1">
        <v>0</v>
      </c>
      <c r="V575" s="1">
        <v>1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16</v>
      </c>
      <c r="AF575" s="1">
        <v>41306</v>
      </c>
      <c r="AG575" s="33">
        <f t="shared" si="37"/>
        <v>0.000387352926935554</v>
      </c>
      <c r="AH575" s="1">
        <v>1</v>
      </c>
      <c r="AI575" s="1">
        <v>6</v>
      </c>
      <c r="AJ575" s="1">
        <v>0</v>
      </c>
    </row>
    <row r="576" s="3" customFormat="1" spans="1:36">
      <c r="A576" s="2" t="str">
        <f>VLOOKUP(B576,'[1]2. ISIC行业分类'!$A$2:$B$102,2,FALSE)</f>
        <v>J6201</v>
      </c>
      <c r="B576" s="34" t="s">
        <v>186</v>
      </c>
      <c r="C576" s="35">
        <v>2018</v>
      </c>
      <c r="D576" s="39">
        <v>5.306</v>
      </c>
      <c r="E576" s="39">
        <v>34.28</v>
      </c>
      <c r="F576" s="17">
        <f t="shared" si="34"/>
        <v>0.154784130688448</v>
      </c>
      <c r="G576" s="39">
        <v>74.478</v>
      </c>
      <c r="H576" s="39">
        <v>78.453</v>
      </c>
      <c r="I576" s="40">
        <v>0.949332721502046</v>
      </c>
      <c r="J576" s="39">
        <v>7.34</v>
      </c>
      <c r="K576" s="40">
        <v>0.0935592010503104</v>
      </c>
      <c r="L576" s="39">
        <v>-16.278</v>
      </c>
      <c r="M576" s="40">
        <v>-0.207487285381056</v>
      </c>
      <c r="N576" s="41">
        <v>0</v>
      </c>
      <c r="O576" s="42" t="s">
        <v>121</v>
      </c>
      <c r="P576" s="1">
        <v>3</v>
      </c>
      <c r="Q576" s="1">
        <v>0</v>
      </c>
      <c r="R576" s="1">
        <v>0</v>
      </c>
      <c r="S576" s="1">
        <v>13</v>
      </c>
      <c r="T576" s="1">
        <v>4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27</v>
      </c>
      <c r="AF576" s="1">
        <v>44833</v>
      </c>
      <c r="AG576" s="33">
        <f t="shared" si="37"/>
        <v>0.000602234960854728</v>
      </c>
      <c r="AH576" s="1">
        <v>0</v>
      </c>
      <c r="AI576" s="1">
        <v>0</v>
      </c>
      <c r="AJ576" s="1">
        <v>0</v>
      </c>
    </row>
    <row r="577" s="2" customFormat="1" spans="1:36">
      <c r="A577" s="2" t="str">
        <f>VLOOKUP(B577,'[1]2. ISIC行业分类'!$A$2:$B$102,2,FALSE)</f>
        <v>J6201</v>
      </c>
      <c r="B577" s="14" t="s">
        <v>186</v>
      </c>
      <c r="C577" s="15" t="s">
        <v>43</v>
      </c>
      <c r="D577" s="16">
        <v>6.422</v>
      </c>
      <c r="E577" s="16">
        <v>22.652</v>
      </c>
      <c r="F577" s="17">
        <f t="shared" si="34"/>
        <v>0.283506975101536</v>
      </c>
      <c r="G577" s="16">
        <v>29.46</v>
      </c>
      <c r="H577" s="16">
        <v>49.904</v>
      </c>
      <c r="I577" s="24">
        <v>0.590333440205194</v>
      </c>
      <c r="J577" s="25">
        <v>10.703</v>
      </c>
      <c r="K577" s="24">
        <v>0.214471785828791</v>
      </c>
      <c r="L577" s="16">
        <v>8.187</v>
      </c>
      <c r="M577" s="24">
        <v>0.164054985572299</v>
      </c>
      <c r="N577" s="26">
        <v>0</v>
      </c>
      <c r="O577" s="27" t="s">
        <v>121</v>
      </c>
      <c r="P577" s="1">
        <v>0</v>
      </c>
      <c r="Q577" s="1">
        <v>0</v>
      </c>
      <c r="R577" s="1">
        <v>0</v>
      </c>
      <c r="S577" s="1">
        <v>2</v>
      </c>
      <c r="T577" s="1">
        <v>1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4</v>
      </c>
      <c r="AF577" s="1">
        <v>44665</v>
      </c>
      <c r="AG577" s="33">
        <f t="shared" si="37"/>
        <v>8.95555804321057e-5</v>
      </c>
      <c r="AH577" s="1">
        <v>1</v>
      </c>
      <c r="AI577" s="1">
        <v>3</v>
      </c>
      <c r="AJ577" s="1">
        <v>0</v>
      </c>
    </row>
    <row r="578" s="3" customFormat="1" spans="1:36">
      <c r="A578" s="2" t="str">
        <f>VLOOKUP(B578,'[1]2. ISIC行业分类'!$A$2:$B$102,2,FALSE)</f>
        <v>J6201</v>
      </c>
      <c r="B578" s="34" t="s">
        <v>186</v>
      </c>
      <c r="C578" s="35">
        <v>2020</v>
      </c>
      <c r="D578" s="39">
        <v>6.012</v>
      </c>
      <c r="E578" s="39">
        <v>14.779</v>
      </c>
      <c r="F578" s="17">
        <f t="shared" si="34"/>
        <v>0.406793423100345</v>
      </c>
      <c r="G578" s="39">
        <v>38.455</v>
      </c>
      <c r="H578" s="39">
        <v>52.881</v>
      </c>
      <c r="I578" s="40">
        <v>0.727198804863751</v>
      </c>
      <c r="J578" s="39">
        <v>10.744</v>
      </c>
      <c r="K578" s="40">
        <v>0.203173162383465</v>
      </c>
      <c r="L578" s="39">
        <v>-28.659</v>
      </c>
      <c r="M578" s="40">
        <v>-0.541952686220003</v>
      </c>
      <c r="N578" s="41">
        <v>81</v>
      </c>
      <c r="O578" s="42" t="s">
        <v>121</v>
      </c>
      <c r="P578" s="1">
        <v>5</v>
      </c>
      <c r="Q578" s="1">
        <v>0</v>
      </c>
      <c r="R578" s="1">
        <v>0</v>
      </c>
      <c r="S578" s="1">
        <v>16</v>
      </c>
      <c r="T578" s="1">
        <v>2</v>
      </c>
      <c r="U578" s="1">
        <v>0</v>
      </c>
      <c r="V578" s="1">
        <v>0</v>
      </c>
      <c r="W578" s="1">
        <v>1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34</v>
      </c>
      <c r="AF578" s="1">
        <v>51096</v>
      </c>
      <c r="AG578" s="33">
        <f t="shared" si="37"/>
        <v>0.000665414122436199</v>
      </c>
      <c r="AH578" s="1">
        <v>0</v>
      </c>
      <c r="AI578" s="1">
        <v>0</v>
      </c>
      <c r="AJ578" s="1">
        <v>0</v>
      </c>
    </row>
    <row r="579" s="2" customFormat="1" spans="1:36">
      <c r="A579" s="2" t="str">
        <f>VLOOKUP(B579,'[1]2. ISIC行业分类'!$A$2:$B$102,2,FALSE)</f>
        <v>J6201</v>
      </c>
      <c r="B579" s="14" t="s">
        <v>186</v>
      </c>
      <c r="C579" s="15" t="s">
        <v>45</v>
      </c>
      <c r="D579" s="16">
        <v>5.618</v>
      </c>
      <c r="E579" s="16">
        <v>17.646</v>
      </c>
      <c r="F579" s="17">
        <f t="shared" si="34"/>
        <v>0.318372435679474</v>
      </c>
      <c r="G579" s="16">
        <v>47.426</v>
      </c>
      <c r="H579" s="16">
        <v>88.805</v>
      </c>
      <c r="I579" s="24">
        <v>0.534046506390406</v>
      </c>
      <c r="J579" s="25">
        <v>11.075</v>
      </c>
      <c r="K579" s="24">
        <v>0.124711446427566</v>
      </c>
      <c r="L579" s="16">
        <v>-20.34</v>
      </c>
      <c r="M579" s="24">
        <v>-0.229041157592478</v>
      </c>
      <c r="N579" s="26">
        <v>136</v>
      </c>
      <c r="O579" s="27" t="s">
        <v>121</v>
      </c>
      <c r="P579" s="1">
        <v>16</v>
      </c>
      <c r="Q579" s="1">
        <v>4</v>
      </c>
      <c r="R579" s="1">
        <v>1</v>
      </c>
      <c r="S579" s="1">
        <v>37</v>
      </c>
      <c r="T579" s="1">
        <v>1</v>
      </c>
      <c r="U579" s="1">
        <v>0</v>
      </c>
      <c r="V579" s="1">
        <v>1</v>
      </c>
      <c r="W579" s="1">
        <v>0</v>
      </c>
      <c r="X579" s="1">
        <v>0</v>
      </c>
      <c r="Y579" s="1">
        <v>0</v>
      </c>
      <c r="Z579" s="1">
        <v>0</v>
      </c>
      <c r="AA579" s="1">
        <v>1</v>
      </c>
      <c r="AB579" s="1">
        <v>0</v>
      </c>
      <c r="AC579" s="1">
        <v>0</v>
      </c>
      <c r="AD579" s="1">
        <v>0</v>
      </c>
      <c r="AE579" s="1">
        <v>87</v>
      </c>
      <c r="AF579" s="1">
        <v>56735</v>
      </c>
      <c r="AG579" s="33">
        <f t="shared" si="37"/>
        <v>0.00153344496342646</v>
      </c>
      <c r="AH579" s="1">
        <v>1</v>
      </c>
      <c r="AI579" s="1">
        <v>3</v>
      </c>
      <c r="AJ579" s="1">
        <v>0</v>
      </c>
    </row>
    <row r="580" s="2" customFormat="1" spans="1:36">
      <c r="A580" s="2" t="str">
        <f>VLOOKUP(B580,'[1]2. ISIC行业分类'!$A$2:$B$102,2,FALSE)</f>
        <v>C2100</v>
      </c>
      <c r="B580" s="14" t="s">
        <v>187</v>
      </c>
      <c r="C580" s="15" t="s">
        <v>37</v>
      </c>
      <c r="D580" s="16">
        <v>30.4947</v>
      </c>
      <c r="E580" s="16">
        <v>312.53267</v>
      </c>
      <c r="F580" s="17">
        <f t="shared" si="34"/>
        <v>0.0975728393450835</v>
      </c>
      <c r="G580" s="16">
        <v>142.95928</v>
      </c>
      <c r="H580" s="16">
        <v>401.08153</v>
      </c>
      <c r="I580" s="24">
        <v>0.356434463586493</v>
      </c>
      <c r="J580" s="25">
        <v>395.34805</v>
      </c>
      <c r="K580" s="24">
        <v>0.985704951310024</v>
      </c>
      <c r="L580" s="16">
        <v>15.39488</v>
      </c>
      <c r="M580" s="24">
        <v>0.038383417954948</v>
      </c>
      <c r="N580" s="26">
        <v>958</v>
      </c>
      <c r="O580" s="27" t="s">
        <v>188</v>
      </c>
      <c r="AH580" s="1">
        <v>5</v>
      </c>
      <c r="AI580" s="1">
        <v>84</v>
      </c>
      <c r="AJ580" s="1">
        <v>103</v>
      </c>
    </row>
    <row r="581" s="2" customFormat="1" spans="1:36">
      <c r="A581" s="2" t="str">
        <f>VLOOKUP(B581,'[1]2. ISIC行业分类'!$A$2:$B$102,2,FALSE)</f>
        <v>C2100</v>
      </c>
      <c r="B581" s="14" t="s">
        <v>187</v>
      </c>
      <c r="C581" s="15" t="s">
        <v>39</v>
      </c>
      <c r="D581" s="16">
        <v>22.672</v>
      </c>
      <c r="E581" s="16">
        <v>315.96562</v>
      </c>
      <c r="F581" s="17">
        <f>D581/E581</f>
        <v>0.0717546421664484</v>
      </c>
      <c r="G581" s="16">
        <v>124.24417</v>
      </c>
      <c r="H581" s="16">
        <v>372.20596</v>
      </c>
      <c r="I581" s="24">
        <v>0.33380489124892</v>
      </c>
      <c r="J581" s="25">
        <v>367.19288</v>
      </c>
      <c r="K581" s="24">
        <v>0.986531435445042</v>
      </c>
      <c r="L581" s="16">
        <v>19.98537</v>
      </c>
      <c r="M581" s="24">
        <v>0.053694384689595</v>
      </c>
      <c r="N581" s="26">
        <v>1013</v>
      </c>
      <c r="O581" s="27" t="s">
        <v>188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26959</v>
      </c>
      <c r="AG581" s="33">
        <f t="shared" ref="AG581:AG619" si="38">AE581/AF581</f>
        <v>0</v>
      </c>
      <c r="AH581" s="1">
        <v>6</v>
      </c>
      <c r="AI581" s="1">
        <v>103</v>
      </c>
      <c r="AJ581" s="1">
        <v>78</v>
      </c>
    </row>
    <row r="582" s="2" customFormat="1" spans="1:36">
      <c r="A582" s="2" t="str">
        <f>VLOOKUP(B582,'[1]2. ISIC行业分类'!$A$2:$B$102,2,FALSE)</f>
        <v>C2100</v>
      </c>
      <c r="B582" s="14" t="s">
        <v>187</v>
      </c>
      <c r="C582" s="15" t="s">
        <v>40</v>
      </c>
      <c r="D582" s="16">
        <v>22.33</v>
      </c>
      <c r="E582" s="16">
        <v>351.52065</v>
      </c>
      <c r="F582" s="17">
        <f>D582/E582</f>
        <v>0.0635240063421594</v>
      </c>
      <c r="G582" s="16">
        <v>126.27938</v>
      </c>
      <c r="H582" s="16">
        <v>405.72058</v>
      </c>
      <c r="I582" s="24">
        <v>0.311247164242938</v>
      </c>
      <c r="J582" s="25">
        <v>384.48256</v>
      </c>
      <c r="K582" s="24">
        <v>0.947653579712422</v>
      </c>
      <c r="L582" s="16">
        <v>37.36372</v>
      </c>
      <c r="M582" s="24">
        <v>0.0920922473294305</v>
      </c>
      <c r="N582" s="26">
        <v>1116</v>
      </c>
      <c r="O582" s="27" t="s">
        <v>188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28893</v>
      </c>
      <c r="AG582" s="33">
        <f t="shared" si="38"/>
        <v>0</v>
      </c>
      <c r="AH582" s="1">
        <v>7</v>
      </c>
      <c r="AI582" s="1">
        <v>154</v>
      </c>
      <c r="AJ582" s="1">
        <v>126</v>
      </c>
    </row>
    <row r="583" s="2" customFormat="1" spans="1:36">
      <c r="A583" s="2" t="str">
        <f>VLOOKUP(B583,'[1]2. ISIC行业分类'!$A$2:$B$102,2,FALSE)</f>
        <v>C2100</v>
      </c>
      <c r="B583" s="14" t="s">
        <v>187</v>
      </c>
      <c r="C583" s="15" t="s">
        <v>41</v>
      </c>
      <c r="D583" s="16">
        <v>29.376</v>
      </c>
      <c r="E583" s="16">
        <v>389.481</v>
      </c>
      <c r="F583" s="17">
        <f>D583/E583</f>
        <v>0.075423448127123</v>
      </c>
      <c r="G583" s="16">
        <v>119.9822</v>
      </c>
      <c r="H583" s="16">
        <v>421.72087</v>
      </c>
      <c r="I583" s="24">
        <v>0.284506194820285</v>
      </c>
      <c r="J583" s="25">
        <v>384.49495</v>
      </c>
      <c r="K583" s="24">
        <v>0.911728532666643</v>
      </c>
      <c r="L583" s="16">
        <v>46.23822</v>
      </c>
      <c r="M583" s="24">
        <v>0.109641763757151</v>
      </c>
      <c r="N583" s="26">
        <v>1256</v>
      </c>
      <c r="O583" s="27" t="s">
        <v>188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27206</v>
      </c>
      <c r="AG583" s="33">
        <f t="shared" si="38"/>
        <v>0</v>
      </c>
      <c r="AH583" s="1">
        <v>9</v>
      </c>
      <c r="AI583" s="1">
        <v>189</v>
      </c>
      <c r="AJ583" s="1">
        <v>90</v>
      </c>
    </row>
    <row r="584" s="2" customFormat="1" spans="1:36">
      <c r="A584" s="2" t="str">
        <f>VLOOKUP(B584,'[1]2. ISIC行业分类'!$A$2:$B$102,2,FALSE)</f>
        <v>C2100</v>
      </c>
      <c r="B584" s="14" t="s">
        <v>187</v>
      </c>
      <c r="C584" s="15" t="s">
        <v>42</v>
      </c>
      <c r="D584" s="16">
        <v>42.738</v>
      </c>
      <c r="E584" s="16">
        <v>488.8403</v>
      </c>
      <c r="F584" s="17">
        <f t="shared" ref="F584:F647" si="39">D584/E584</f>
        <v>0.087427325447595</v>
      </c>
      <c r="G584" s="16">
        <v>166.4328</v>
      </c>
      <c r="H584" s="16">
        <v>524.6235</v>
      </c>
      <c r="I584" s="24">
        <v>0.317242365239071</v>
      </c>
      <c r="J584" s="25">
        <v>447.89202</v>
      </c>
      <c r="K584" s="24">
        <v>0.853739910621617</v>
      </c>
      <c r="L584" s="16">
        <v>54.5977</v>
      </c>
      <c r="M584" s="24">
        <v>0.104070252285687</v>
      </c>
      <c r="N584" s="26">
        <v>1384</v>
      </c>
      <c r="O584" s="27" t="s">
        <v>188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1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2</v>
      </c>
      <c r="AF584" s="1">
        <v>25049</v>
      </c>
      <c r="AG584" s="33">
        <f t="shared" si="38"/>
        <v>7.98435067268154e-5</v>
      </c>
      <c r="AH584" s="1">
        <v>7</v>
      </c>
      <c r="AI584" s="1">
        <v>634</v>
      </c>
      <c r="AJ584" s="1">
        <v>133</v>
      </c>
    </row>
    <row r="585" s="2" customFormat="1" spans="1:36">
      <c r="A585" s="2" t="str">
        <f>VLOOKUP(B585,'[1]2. ISIC行业分类'!$A$2:$B$102,2,FALSE)</f>
        <v>C2100</v>
      </c>
      <c r="B585" s="14" t="s">
        <v>187</v>
      </c>
      <c r="C585" s="15" t="s">
        <v>43</v>
      </c>
      <c r="D585" s="16">
        <v>36.36</v>
      </c>
      <c r="E585" s="16">
        <v>455.77039</v>
      </c>
      <c r="F585" s="17">
        <f t="shared" si="39"/>
        <v>0.0797770122802405</v>
      </c>
      <c r="G585" s="16">
        <v>209.86742</v>
      </c>
      <c r="H585" s="16">
        <v>590.34552</v>
      </c>
      <c r="I585" s="24">
        <v>0.35549930149381</v>
      </c>
      <c r="J585" s="25">
        <v>523.45621</v>
      </c>
      <c r="K585" s="24">
        <v>0.886694642825442</v>
      </c>
      <c r="L585" s="16">
        <v>60.40177</v>
      </c>
      <c r="M585" s="24">
        <v>0.102315962353708</v>
      </c>
      <c r="N585" s="26">
        <v>1522</v>
      </c>
      <c r="O585" s="27" t="s">
        <v>188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25212</v>
      </c>
      <c r="AG585" s="33">
        <f t="shared" si="38"/>
        <v>0</v>
      </c>
      <c r="AH585" s="1">
        <v>4</v>
      </c>
      <c r="AI585" s="1">
        <v>50</v>
      </c>
      <c r="AJ585" s="1">
        <v>12</v>
      </c>
    </row>
    <row r="586" s="2" customFormat="1" spans="1:36">
      <c r="A586" s="2" t="str">
        <f>VLOOKUP(B586,'[1]2. ISIC行业分类'!$A$2:$B$102,2,FALSE)</f>
        <v>C2100</v>
      </c>
      <c r="B586" s="14" t="s">
        <v>187</v>
      </c>
      <c r="C586" s="15" t="s">
        <v>44</v>
      </c>
      <c r="D586" s="16">
        <v>52.43</v>
      </c>
      <c r="E586" s="16">
        <v>409.17856</v>
      </c>
      <c r="F586" s="17">
        <f t="shared" si="39"/>
        <v>0.128134768351499</v>
      </c>
      <c r="G586" s="16">
        <v>311.95164</v>
      </c>
      <c r="H586" s="16">
        <v>703.89705</v>
      </c>
      <c r="I586" s="24">
        <v>0.44317793347763</v>
      </c>
      <c r="J586" s="25">
        <v>608.38151</v>
      </c>
      <c r="K586" s="24">
        <v>0.864304673531449</v>
      </c>
      <c r="L586" s="16">
        <v>12.17788</v>
      </c>
      <c r="M586" s="24">
        <v>0.0173006549750422</v>
      </c>
      <c r="N586" s="26">
        <v>1627</v>
      </c>
      <c r="O586" s="27" t="s">
        <v>188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30215</v>
      </c>
      <c r="AG586" s="33">
        <f t="shared" si="38"/>
        <v>0</v>
      </c>
      <c r="AH586" s="1">
        <v>14</v>
      </c>
      <c r="AI586" s="1">
        <v>76</v>
      </c>
      <c r="AJ586" s="1">
        <v>20</v>
      </c>
    </row>
    <row r="587" s="2" customFormat="1" spans="1:36">
      <c r="A587" s="2" t="str">
        <f>VLOOKUP(B587,'[1]2. ISIC行业分类'!$A$2:$B$102,2,FALSE)</f>
        <v>C2100</v>
      </c>
      <c r="B587" s="14" t="s">
        <v>187</v>
      </c>
      <c r="C587" s="15" t="s">
        <v>45</v>
      </c>
      <c r="D587" s="16">
        <v>56.68</v>
      </c>
      <c r="E587" s="16">
        <v>428.29132</v>
      </c>
      <c r="F587" s="17">
        <f t="shared" si="39"/>
        <v>0.132339828880959</v>
      </c>
      <c r="G587" s="16">
        <v>341.968</v>
      </c>
      <c r="H587" s="16">
        <v>761.48353</v>
      </c>
      <c r="I587" s="24">
        <v>0.449081282165092</v>
      </c>
      <c r="J587" s="25">
        <v>677.58043</v>
      </c>
      <c r="K587" s="24">
        <v>0.889816264312375</v>
      </c>
      <c r="L587" s="16">
        <v>6.16565</v>
      </c>
      <c r="M587" s="24">
        <v>0.00809689212844827</v>
      </c>
      <c r="N587" s="26">
        <v>1737</v>
      </c>
      <c r="O587" s="27" t="s">
        <v>188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33875</v>
      </c>
      <c r="AG587" s="33">
        <f t="shared" si="38"/>
        <v>0</v>
      </c>
      <c r="AH587" s="1">
        <v>7</v>
      </c>
      <c r="AI587" s="1">
        <v>37</v>
      </c>
      <c r="AJ587" s="1">
        <v>12</v>
      </c>
    </row>
    <row r="588" s="2" customFormat="1" spans="1:36">
      <c r="A588" s="2" t="str">
        <f>VLOOKUP(B588,'[1]2. ISIC行业分类'!$A$2:$B$102,2,FALSE)</f>
        <v>C2100</v>
      </c>
      <c r="B588" s="14" t="s">
        <v>187</v>
      </c>
      <c r="C588" s="15" t="s">
        <v>48</v>
      </c>
      <c r="D588" s="16">
        <v>76.65</v>
      </c>
      <c r="E588" s="16">
        <v>504.77364</v>
      </c>
      <c r="F588" s="17">
        <f t="shared" si="39"/>
        <v>0.151850243210006</v>
      </c>
      <c r="G588" s="16">
        <v>395.67158</v>
      </c>
      <c r="H588" s="16">
        <v>821.93313</v>
      </c>
      <c r="I588" s="24">
        <v>0.481391448474647</v>
      </c>
      <c r="J588" s="25">
        <v>719.24008</v>
      </c>
      <c r="K588" s="24">
        <v>0.875059118252114</v>
      </c>
      <c r="L588" s="16">
        <v>25.08986</v>
      </c>
      <c r="M588" s="24">
        <v>0.0305254272935804</v>
      </c>
      <c r="N588" s="26">
        <v>1923</v>
      </c>
      <c r="O588" s="27" t="s">
        <v>188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1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2</v>
      </c>
      <c r="AF588" s="1">
        <v>34277</v>
      </c>
      <c r="AG588" s="33">
        <f t="shared" si="38"/>
        <v>5.83481634915541e-5</v>
      </c>
      <c r="AH588" s="1">
        <v>4</v>
      </c>
      <c r="AI588" s="1">
        <v>7</v>
      </c>
      <c r="AJ588" s="1">
        <v>0</v>
      </c>
    </row>
    <row r="589" s="2" customFormat="1" spans="1:36">
      <c r="A589" s="2" t="str">
        <f>VLOOKUP(B589,'[1]2. ISIC行业分类'!$A$2:$B$102,2,FALSE)</f>
        <v>C2100</v>
      </c>
      <c r="B589" s="14" t="s">
        <v>187</v>
      </c>
      <c r="C589" s="15" t="s">
        <v>71</v>
      </c>
      <c r="D589" s="16">
        <v>74.52</v>
      </c>
      <c r="E589" s="16">
        <v>545.08996</v>
      </c>
      <c r="F589" s="17">
        <f t="shared" si="39"/>
        <v>0.136711378796997</v>
      </c>
      <c r="G589" s="16">
        <v>328.22643</v>
      </c>
      <c r="H589" s="16">
        <v>944.40074</v>
      </c>
      <c r="I589" s="24">
        <v>0.347549950034982</v>
      </c>
      <c r="J589" s="25">
        <v>819.55579</v>
      </c>
      <c r="K589" s="24">
        <v>0.867805112054444</v>
      </c>
      <c r="L589" s="16">
        <v>56.18439</v>
      </c>
      <c r="M589" s="24">
        <v>0.0594921071324023</v>
      </c>
      <c r="N589" s="26">
        <v>2059</v>
      </c>
      <c r="O589" s="27" t="s">
        <v>188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2</v>
      </c>
      <c r="V589" s="1">
        <v>1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6</v>
      </c>
      <c r="AF589" s="1">
        <v>32341</v>
      </c>
      <c r="AG589" s="33">
        <f t="shared" si="38"/>
        <v>0.000185523020314771</v>
      </c>
      <c r="AH589" s="1">
        <v>1</v>
      </c>
      <c r="AI589" s="1">
        <v>0</v>
      </c>
      <c r="AJ589" s="1">
        <v>0</v>
      </c>
    </row>
    <row r="590" s="2" customFormat="1" spans="1:36">
      <c r="A590" s="2" t="str">
        <f>VLOOKUP(B590,'[1]2. ISIC行业分类'!$A$2:$B$102,2,FALSE)</f>
        <v>C2825</v>
      </c>
      <c r="B590" s="14" t="s">
        <v>189</v>
      </c>
      <c r="C590" s="15" t="s">
        <v>37</v>
      </c>
      <c r="D590" s="16">
        <v>18.8647</v>
      </c>
      <c r="E590" s="16">
        <v>641.77208</v>
      </c>
      <c r="F590" s="17">
        <f t="shared" si="39"/>
        <v>0.0293947034903731</v>
      </c>
      <c r="G590" s="16">
        <v>179.14422</v>
      </c>
      <c r="H590" s="16">
        <v>520.12346</v>
      </c>
      <c r="I590" s="24">
        <v>0.344426340623051</v>
      </c>
      <c r="J590" s="25">
        <v>575.07717</v>
      </c>
      <c r="K590" s="24">
        <v>1.10565512657322</v>
      </c>
      <c r="L590" s="16">
        <v>30.98711</v>
      </c>
      <c r="M590" s="24">
        <v>0.0595764513294594</v>
      </c>
      <c r="N590" s="26">
        <v>2952</v>
      </c>
      <c r="O590" s="27" t="s">
        <v>190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24912</v>
      </c>
      <c r="AG590" s="33">
        <f t="shared" si="38"/>
        <v>0</v>
      </c>
      <c r="AH590" s="1">
        <v>16</v>
      </c>
      <c r="AI590" s="1">
        <v>201</v>
      </c>
      <c r="AJ590" s="1">
        <v>63</v>
      </c>
    </row>
    <row r="591" s="2" customFormat="1" spans="1:36">
      <c r="A591" s="2" t="str">
        <f>VLOOKUP(B591,'[1]2. ISIC行业分类'!$A$2:$B$102,2,FALSE)</f>
        <v>C2825</v>
      </c>
      <c r="B591" s="14" t="s">
        <v>189</v>
      </c>
      <c r="C591" s="15" t="s">
        <v>39</v>
      </c>
      <c r="D591" s="16">
        <v>16.97841</v>
      </c>
      <c r="E591" s="16">
        <v>580.0706</v>
      </c>
      <c r="F591" s="17">
        <f t="shared" si="39"/>
        <v>0.0292695578779549</v>
      </c>
      <c r="G591" s="16">
        <v>180.83084</v>
      </c>
      <c r="H591" s="16">
        <v>473.09259</v>
      </c>
      <c r="I591" s="24">
        <v>0.382231393647489</v>
      </c>
      <c r="J591" s="25">
        <v>525.00679</v>
      </c>
      <c r="K591" s="24">
        <v>1.10973369927439</v>
      </c>
      <c r="L591" s="16">
        <v>0.10861</v>
      </c>
      <c r="M591" s="24">
        <v>0.00022957451098526</v>
      </c>
      <c r="N591" s="26">
        <v>3073</v>
      </c>
      <c r="O591" s="27" t="s">
        <v>190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20185</v>
      </c>
      <c r="AG591" s="33">
        <f t="shared" si="38"/>
        <v>0</v>
      </c>
      <c r="AH591" s="1">
        <v>3</v>
      </c>
      <c r="AI591" s="1">
        <v>66</v>
      </c>
      <c r="AJ591" s="1">
        <v>20</v>
      </c>
    </row>
    <row r="592" s="2" customFormat="1" spans="1:36">
      <c r="A592" s="2" t="str">
        <f>VLOOKUP(B592,'[1]2. ISIC行业分类'!$A$2:$B$102,2,FALSE)</f>
        <v>C2825</v>
      </c>
      <c r="B592" s="14" t="s">
        <v>189</v>
      </c>
      <c r="C592" s="15" t="s">
        <v>40</v>
      </c>
      <c r="D592" s="16">
        <v>22.35938</v>
      </c>
      <c r="E592" s="16">
        <v>571.20237</v>
      </c>
      <c r="F592" s="17">
        <f t="shared" si="39"/>
        <v>0.0391444104127229</v>
      </c>
      <c r="G592" s="16">
        <v>179.66853</v>
      </c>
      <c r="H592" s="16">
        <v>475.56212</v>
      </c>
      <c r="I592" s="24">
        <v>0.377802441456018</v>
      </c>
      <c r="J592" s="25">
        <v>510.08128</v>
      </c>
      <c r="K592" s="24">
        <v>1.07258601673321</v>
      </c>
      <c r="L592" s="16">
        <v>21.42933</v>
      </c>
      <c r="M592" s="24">
        <v>0.0450610532226579</v>
      </c>
      <c r="N592" s="26">
        <v>3265</v>
      </c>
      <c r="O592" s="27" t="s">
        <v>190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22199</v>
      </c>
      <c r="AG592" s="33">
        <f t="shared" si="38"/>
        <v>0</v>
      </c>
      <c r="AH592" s="1">
        <v>6</v>
      </c>
      <c r="AI592" s="1">
        <v>109</v>
      </c>
      <c r="AJ592" s="1">
        <v>35</v>
      </c>
    </row>
    <row r="593" s="2" customFormat="1" spans="1:36">
      <c r="A593" s="2" t="str">
        <f>VLOOKUP(B593,'[1]2. ISIC行业分类'!$A$2:$B$102,2,FALSE)</f>
        <v>C2825</v>
      </c>
      <c r="B593" s="14" t="s">
        <v>189</v>
      </c>
      <c r="C593" s="15" t="s">
        <v>41</v>
      </c>
      <c r="D593" s="16">
        <v>19.99569</v>
      </c>
      <c r="E593" s="16">
        <v>702.56965</v>
      </c>
      <c r="F593" s="17">
        <f t="shared" si="39"/>
        <v>0.0284607938871256</v>
      </c>
      <c r="G593" s="16">
        <v>178.4342</v>
      </c>
      <c r="H593" s="16">
        <v>504.08261</v>
      </c>
      <c r="I593" s="24">
        <v>0.353978091011709</v>
      </c>
      <c r="J593" s="25">
        <v>575.52834</v>
      </c>
      <c r="K593" s="24">
        <v>1.14173416932594</v>
      </c>
      <c r="L593" s="16">
        <v>18.49184</v>
      </c>
      <c r="M593" s="24">
        <v>0.0366841458783908</v>
      </c>
      <c r="N593" s="26">
        <v>3353</v>
      </c>
      <c r="O593" s="27" t="s">
        <v>190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23172</v>
      </c>
      <c r="AG593" s="33">
        <f t="shared" si="38"/>
        <v>0</v>
      </c>
      <c r="AH593" s="1">
        <v>4</v>
      </c>
      <c r="AI593" s="1">
        <v>22</v>
      </c>
      <c r="AJ593" s="1">
        <v>5</v>
      </c>
    </row>
    <row r="594" s="2" customFormat="1" spans="1:36">
      <c r="A594" s="2" t="str">
        <f>VLOOKUP(B594,'[1]2. ISIC行业分类'!$A$2:$B$102,2,FALSE)</f>
        <v>C2825</v>
      </c>
      <c r="B594" s="14" t="s">
        <v>189</v>
      </c>
      <c r="C594" s="15" t="s">
        <v>42</v>
      </c>
      <c r="D594" s="16">
        <v>19.4865</v>
      </c>
      <c r="E594" s="16">
        <v>691.20678</v>
      </c>
      <c r="F594" s="17">
        <f t="shared" si="39"/>
        <v>0.0281919977694663</v>
      </c>
      <c r="G594" s="16">
        <v>180.55874</v>
      </c>
      <c r="H594" s="16">
        <v>504.80879</v>
      </c>
      <c r="I594" s="24">
        <v>0.35767748814358</v>
      </c>
      <c r="J594" s="25">
        <v>560.22441</v>
      </c>
      <c r="K594" s="24">
        <v>1.10977546567682</v>
      </c>
      <c r="L594" s="16">
        <v>26.21937</v>
      </c>
      <c r="M594" s="24">
        <v>0.0519392104879949</v>
      </c>
      <c r="N594" s="26">
        <v>3412</v>
      </c>
      <c r="O594" s="27" t="s">
        <v>190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22673</v>
      </c>
      <c r="AG594" s="33">
        <f t="shared" si="38"/>
        <v>0</v>
      </c>
      <c r="AH594" s="1">
        <v>6</v>
      </c>
      <c r="AI594" s="1">
        <v>58</v>
      </c>
      <c r="AJ594" s="1">
        <v>9</v>
      </c>
    </row>
    <row r="595" s="2" customFormat="1" spans="1:36">
      <c r="A595" s="2" t="str">
        <f>VLOOKUP(B595,'[1]2. ISIC行业分类'!$A$2:$B$102,2,FALSE)</f>
        <v>C2825</v>
      </c>
      <c r="B595" s="14" t="s">
        <v>189</v>
      </c>
      <c r="C595" s="15" t="s">
        <v>43</v>
      </c>
      <c r="D595" s="16">
        <v>20.3749</v>
      </c>
      <c r="E595" s="16">
        <v>724.9467</v>
      </c>
      <c r="F595" s="17">
        <f t="shared" si="39"/>
        <v>0.0281053765745813</v>
      </c>
      <c r="G595" s="16">
        <v>187.96993</v>
      </c>
      <c r="H595" s="16">
        <v>527.9991</v>
      </c>
      <c r="I595" s="24">
        <v>0.356004262128477</v>
      </c>
      <c r="J595" s="25">
        <v>568.28639</v>
      </c>
      <c r="K595" s="24">
        <v>1.07630181566597</v>
      </c>
      <c r="L595" s="16">
        <v>34.33958</v>
      </c>
      <c r="M595" s="24">
        <v>0.0650371941921871</v>
      </c>
      <c r="N595" s="26">
        <v>3362</v>
      </c>
      <c r="O595" s="27" t="s">
        <v>190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23229</v>
      </c>
      <c r="AG595" s="33">
        <f t="shared" si="38"/>
        <v>0</v>
      </c>
      <c r="AH595" s="1">
        <v>3</v>
      </c>
      <c r="AI595" s="1">
        <v>14</v>
      </c>
      <c r="AJ595" s="1">
        <v>2</v>
      </c>
    </row>
    <row r="596" s="2" customFormat="1" spans="1:36">
      <c r="A596" s="2" t="str">
        <f>VLOOKUP(B596,'[1]2. ISIC行业分类'!$A$2:$B$102,2,FALSE)</f>
        <v>C2825</v>
      </c>
      <c r="B596" s="14" t="s">
        <v>189</v>
      </c>
      <c r="C596" s="15" t="s">
        <v>44</v>
      </c>
      <c r="D596" s="16">
        <v>21.01648</v>
      </c>
      <c r="E596" s="16">
        <v>756.9419</v>
      </c>
      <c r="F596" s="17">
        <f t="shared" si="39"/>
        <v>0.0277649843402776</v>
      </c>
      <c r="G596" s="16">
        <v>209.90826</v>
      </c>
      <c r="H596" s="16">
        <v>609.90826</v>
      </c>
      <c r="I596" s="24">
        <v>0.344163661597238</v>
      </c>
      <c r="J596" s="25">
        <v>612.35474</v>
      </c>
      <c r="K596" s="24">
        <v>1.00401122621294</v>
      </c>
      <c r="L596" s="16">
        <v>47.5841</v>
      </c>
      <c r="M596" s="24">
        <v>0.0780184547754772</v>
      </c>
      <c r="N596" s="26">
        <v>3011</v>
      </c>
      <c r="O596" s="27" t="s">
        <v>190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21853</v>
      </c>
      <c r="AG596" s="33">
        <f t="shared" si="38"/>
        <v>0</v>
      </c>
      <c r="AH596" s="1">
        <v>3</v>
      </c>
      <c r="AI596" s="1">
        <v>14</v>
      </c>
      <c r="AJ596" s="1">
        <v>3</v>
      </c>
    </row>
    <row r="597" s="2" customFormat="1" spans="1:36">
      <c r="A597" s="2" t="str">
        <f>VLOOKUP(B597,'[1]2. ISIC行业分类'!$A$2:$B$102,2,FALSE)</f>
        <v>C2825</v>
      </c>
      <c r="B597" s="14" t="s">
        <v>189</v>
      </c>
      <c r="C597" s="15" t="s">
        <v>45</v>
      </c>
      <c r="D597" s="16">
        <v>25.3162</v>
      </c>
      <c r="E597" s="16">
        <v>794.95053</v>
      </c>
      <c r="F597" s="17">
        <f t="shared" si="39"/>
        <v>0.0318462584080546</v>
      </c>
      <c r="G597" s="16">
        <v>214.82998</v>
      </c>
      <c r="H597" s="16">
        <v>629.25054</v>
      </c>
      <c r="I597" s="24">
        <v>0.341406111467143</v>
      </c>
      <c r="J597" s="25">
        <v>597.74821</v>
      </c>
      <c r="K597" s="24">
        <v>0.949936745386027</v>
      </c>
      <c r="L597" s="16">
        <v>67.89492</v>
      </c>
      <c r="M597" s="24">
        <v>0.107898071887233</v>
      </c>
      <c r="N597" s="26">
        <v>3165</v>
      </c>
      <c r="O597" s="27" t="s">
        <v>190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23609</v>
      </c>
      <c r="AG597" s="33">
        <f t="shared" si="38"/>
        <v>0</v>
      </c>
      <c r="AH597" s="1">
        <v>6</v>
      </c>
      <c r="AI597" s="1">
        <v>31</v>
      </c>
      <c r="AJ597" s="1">
        <v>1</v>
      </c>
    </row>
    <row r="598" s="2" customFormat="1" spans="1:36">
      <c r="A598" s="2" t="str">
        <f>VLOOKUP(B598,'[1]2. ISIC行业分类'!$A$2:$B$102,2,FALSE)</f>
        <v>C2825</v>
      </c>
      <c r="B598" s="14" t="s">
        <v>189</v>
      </c>
      <c r="C598" s="15" t="s">
        <v>48</v>
      </c>
      <c r="D598" s="16">
        <v>26.0091</v>
      </c>
      <c r="E598" s="16">
        <v>870.68505</v>
      </c>
      <c r="F598" s="17">
        <f t="shared" si="39"/>
        <v>0.0298719956200006</v>
      </c>
      <c r="G598" s="16">
        <v>205.19397</v>
      </c>
      <c r="H598" s="16">
        <v>569.41327</v>
      </c>
      <c r="I598" s="24">
        <v>0.360360358303557</v>
      </c>
      <c r="J598" s="25">
        <v>600.29924</v>
      </c>
      <c r="K598" s="24">
        <v>1.0542417460696</v>
      </c>
      <c r="L598" s="16">
        <v>59.20701</v>
      </c>
      <c r="M598" s="24">
        <v>0.103978978220862</v>
      </c>
      <c r="N598" s="26">
        <v>3398</v>
      </c>
      <c r="O598" s="27" t="s">
        <v>190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24337</v>
      </c>
      <c r="AG598" s="33">
        <f t="shared" si="38"/>
        <v>0</v>
      </c>
      <c r="AH598" s="1">
        <v>1</v>
      </c>
      <c r="AI598" s="1">
        <v>9</v>
      </c>
      <c r="AJ598" s="1">
        <v>0</v>
      </c>
    </row>
    <row r="599" s="2" customFormat="1" spans="1:36">
      <c r="A599" s="2" t="str">
        <f>VLOOKUP(B599,'[1]2. ISIC行业分类'!$A$2:$B$102,2,FALSE)</f>
        <v>C2825</v>
      </c>
      <c r="B599" s="14" t="s">
        <v>189</v>
      </c>
      <c r="C599" s="15" t="s">
        <v>71</v>
      </c>
      <c r="D599" s="16">
        <v>27.59355</v>
      </c>
      <c r="E599" s="16">
        <v>845.14204</v>
      </c>
      <c r="F599" s="17">
        <f t="shared" si="39"/>
        <v>0.0326496005334204</v>
      </c>
      <c r="G599" s="16">
        <v>187.35492</v>
      </c>
      <c r="H599" s="16">
        <v>571.23909</v>
      </c>
      <c r="I599" s="24">
        <v>0.327979865663605</v>
      </c>
      <c r="J599" s="25">
        <v>625.17962</v>
      </c>
      <c r="K599" s="24">
        <v>1.0944272388642</v>
      </c>
      <c r="L599" s="16">
        <v>47.75064</v>
      </c>
      <c r="M599" s="24">
        <v>0.0835913382608322</v>
      </c>
      <c r="N599" s="26">
        <v>3500</v>
      </c>
      <c r="O599" s="27" t="s">
        <v>190</v>
      </c>
      <c r="P599" s="1">
        <v>1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2</v>
      </c>
      <c r="AF599" s="1">
        <v>24842</v>
      </c>
      <c r="AG599" s="33">
        <f t="shared" si="38"/>
        <v>8.05088157153208e-5</v>
      </c>
      <c r="AH599" s="1">
        <v>1</v>
      </c>
      <c r="AI599" s="1">
        <v>5</v>
      </c>
      <c r="AJ599" s="1">
        <v>0</v>
      </c>
    </row>
    <row r="600" s="2" customFormat="1" spans="1:36">
      <c r="A600" s="2" t="str">
        <f>VLOOKUP(B600,'[1]2. ISIC行业分类'!$A$2:$B$102,2,FALSE)</f>
        <v>C3250</v>
      </c>
      <c r="B600" s="14" t="s">
        <v>191</v>
      </c>
      <c r="C600" s="15" t="s">
        <v>37</v>
      </c>
      <c r="D600" s="16">
        <v>187.4</v>
      </c>
      <c r="E600" s="16">
        <v>4673.3</v>
      </c>
      <c r="F600" s="17">
        <f t="shared" si="39"/>
        <v>0.0401001433676417</v>
      </c>
      <c r="G600" s="16">
        <v>3106.3</v>
      </c>
      <c r="H600" s="16">
        <v>9658</v>
      </c>
      <c r="I600" s="24">
        <v>0.321629737005591</v>
      </c>
      <c r="J600" s="25">
        <v>3407.1</v>
      </c>
      <c r="K600" s="24">
        <v>0.352774901635949</v>
      </c>
      <c r="L600" s="16">
        <v>720.3</v>
      </c>
      <c r="M600" s="24">
        <v>0.074580658521433</v>
      </c>
      <c r="N600" s="26">
        <v>10000</v>
      </c>
      <c r="O600" s="27" t="s">
        <v>192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36680</v>
      </c>
      <c r="AG600" s="33">
        <f t="shared" si="38"/>
        <v>0</v>
      </c>
      <c r="AH600" s="1">
        <v>31</v>
      </c>
      <c r="AI600" s="1">
        <v>5961</v>
      </c>
      <c r="AJ600" s="1">
        <v>750</v>
      </c>
    </row>
    <row r="601" s="2" customFormat="1" spans="1:36">
      <c r="A601" s="2" t="str">
        <f>VLOOKUP(B601,'[1]2. ISIC行业分类'!$A$2:$B$102,2,FALSE)</f>
        <v>C3250</v>
      </c>
      <c r="B601" s="14" t="s">
        <v>191</v>
      </c>
      <c r="C601" s="15" t="s">
        <v>39</v>
      </c>
      <c r="D601" s="16">
        <v>268.8</v>
      </c>
      <c r="E601" s="16">
        <v>5997.8</v>
      </c>
      <c r="F601" s="17">
        <f t="shared" si="39"/>
        <v>0.0448164326919871</v>
      </c>
      <c r="G601" s="16">
        <v>17271.2</v>
      </c>
      <c r="H601" s="16">
        <v>27160.6</v>
      </c>
      <c r="I601" s="24">
        <v>0.635891696059734</v>
      </c>
      <c r="J601" s="25">
        <v>4427.9</v>
      </c>
      <c r="K601" s="24">
        <v>0.163026589986966</v>
      </c>
      <c r="L601" s="16">
        <v>147</v>
      </c>
      <c r="M601" s="24">
        <v>0.00541225157028932</v>
      </c>
      <c r="N601" s="26">
        <v>17500</v>
      </c>
      <c r="O601" s="27" t="s">
        <v>192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41036</v>
      </c>
      <c r="AG601" s="33">
        <f t="shared" si="38"/>
        <v>0</v>
      </c>
      <c r="AH601" s="1">
        <v>23</v>
      </c>
      <c r="AI601" s="1">
        <v>2656</v>
      </c>
      <c r="AJ601" s="1">
        <v>315</v>
      </c>
    </row>
    <row r="602" s="2" customFormat="1" spans="1:36">
      <c r="A602" s="2" t="str">
        <f>VLOOKUP(B602,'[1]2. ISIC行业分类'!$A$2:$B$102,2,FALSE)</f>
        <v>C3250</v>
      </c>
      <c r="B602" s="14" t="s">
        <v>191</v>
      </c>
      <c r="C602" s="15" t="s">
        <v>40</v>
      </c>
      <c r="D602" s="16">
        <v>365.6</v>
      </c>
      <c r="E602" s="16">
        <v>7668.4</v>
      </c>
      <c r="F602" s="17">
        <f t="shared" si="39"/>
        <v>0.047676177559856</v>
      </c>
      <c r="G602" s="16">
        <v>17014.5</v>
      </c>
      <c r="H602" s="16">
        <v>26684.4</v>
      </c>
      <c r="I602" s="24">
        <v>0.637619732877636</v>
      </c>
      <c r="J602" s="25">
        <v>4671.5</v>
      </c>
      <c r="K602" s="24">
        <v>0.175064831886795</v>
      </c>
      <c r="L602" s="16">
        <v>305.9</v>
      </c>
      <c r="M602" s="24">
        <v>0.0114636266882523</v>
      </c>
      <c r="N602" s="26">
        <v>18500</v>
      </c>
      <c r="O602" s="27" t="s">
        <v>192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2</v>
      </c>
      <c r="AF602" s="1">
        <v>42399</v>
      </c>
      <c r="AG602" s="33">
        <f t="shared" si="38"/>
        <v>4.71709238425435e-5</v>
      </c>
      <c r="AH602" s="1">
        <v>37</v>
      </c>
      <c r="AI602" s="1">
        <v>5583</v>
      </c>
      <c r="AJ602" s="1">
        <v>547</v>
      </c>
    </row>
    <row r="603" s="2" customFormat="1" spans="1:36">
      <c r="A603" s="2" t="str">
        <f>VLOOKUP(B603,'[1]2. ISIC行业分类'!$A$2:$B$102,2,FALSE)</f>
        <v>C3250</v>
      </c>
      <c r="B603" s="14" t="s">
        <v>191</v>
      </c>
      <c r="C603" s="15" t="s">
        <v>41</v>
      </c>
      <c r="D603" s="16">
        <v>369.9</v>
      </c>
      <c r="E603" s="16">
        <v>7803.3</v>
      </c>
      <c r="F603" s="17">
        <f t="shared" si="39"/>
        <v>0.0474030217984699</v>
      </c>
      <c r="G603" s="16">
        <v>14278.5</v>
      </c>
      <c r="H603" s="16">
        <v>26014</v>
      </c>
      <c r="I603" s="24">
        <v>0.5488775274852</v>
      </c>
      <c r="J603" s="25">
        <v>5083.7</v>
      </c>
      <c r="K603" s="24">
        <v>0.195421696009841</v>
      </c>
      <c r="L603" s="16">
        <v>1813.8</v>
      </c>
      <c r="M603" s="24">
        <v>0.0697239947720458</v>
      </c>
      <c r="N603" s="26">
        <v>18200</v>
      </c>
      <c r="O603" s="27" t="s">
        <v>192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4</v>
      </c>
      <c r="AF603" s="1">
        <v>43130</v>
      </c>
      <c r="AG603" s="33">
        <f t="shared" si="38"/>
        <v>9.27428703918386e-5</v>
      </c>
      <c r="AH603" s="1">
        <v>14</v>
      </c>
      <c r="AI603" s="1">
        <v>329</v>
      </c>
      <c r="AJ603" s="1">
        <v>105</v>
      </c>
    </row>
    <row r="604" s="2" customFormat="1" spans="1:36">
      <c r="A604" s="2" t="str">
        <f>VLOOKUP(B604,'[1]2. ISIC行业分类'!$A$2:$B$102,2,FALSE)</f>
        <v>C3250</v>
      </c>
      <c r="B604" s="14" t="s">
        <v>191</v>
      </c>
      <c r="C604" s="15" t="s">
        <v>42</v>
      </c>
      <c r="D604" s="16">
        <v>391.7</v>
      </c>
      <c r="E604" s="16">
        <v>7932.9</v>
      </c>
      <c r="F604" s="17">
        <f t="shared" si="39"/>
        <v>0.0493766466235551</v>
      </c>
      <c r="G604" s="16">
        <v>12850.7</v>
      </c>
      <c r="H604" s="16">
        <v>24126.8</v>
      </c>
      <c r="I604" s="24">
        <v>0.532631762189764</v>
      </c>
      <c r="J604" s="25">
        <v>5437.1</v>
      </c>
      <c r="K604" s="24">
        <v>0.225355206658156</v>
      </c>
      <c r="L604" s="16">
        <v>-379.2</v>
      </c>
      <c r="M604" s="24">
        <v>-0.0157169620504999</v>
      </c>
      <c r="N604" s="26">
        <v>19000</v>
      </c>
      <c r="O604" s="27" t="s">
        <v>192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4</v>
      </c>
      <c r="AF604" s="1">
        <v>42278</v>
      </c>
      <c r="AG604" s="33">
        <f t="shared" si="38"/>
        <v>9.46118548654146e-5</v>
      </c>
      <c r="AH604" s="1">
        <v>21</v>
      </c>
      <c r="AI604" s="1">
        <v>1023</v>
      </c>
      <c r="AJ604" s="1">
        <v>188</v>
      </c>
    </row>
    <row r="605" s="2" customFormat="1" spans="1:36">
      <c r="A605" s="2" t="str">
        <f>VLOOKUP(B605,'[1]2. ISIC行业分类'!$A$2:$B$102,2,FALSE)</f>
        <v>C3250</v>
      </c>
      <c r="B605" s="14" t="s">
        <v>191</v>
      </c>
      <c r="C605" s="15" t="s">
        <v>43</v>
      </c>
      <c r="D605" s="16">
        <v>449.3</v>
      </c>
      <c r="E605" s="16">
        <v>7982.2</v>
      </c>
      <c r="F605" s="17">
        <f t="shared" si="39"/>
        <v>0.0562877402219939</v>
      </c>
      <c r="G605" s="16">
        <v>12245.9</v>
      </c>
      <c r="H605" s="16">
        <v>24638.7</v>
      </c>
      <c r="I605" s="24">
        <v>0.497018917394181</v>
      </c>
      <c r="J605" s="25">
        <v>6183.5</v>
      </c>
      <c r="K605" s="24">
        <v>0.250966974718634</v>
      </c>
      <c r="L605" s="16">
        <v>1131.6</v>
      </c>
      <c r="M605" s="24">
        <v>0.0459277478113699</v>
      </c>
      <c r="N605" s="26">
        <v>19900</v>
      </c>
      <c r="O605" s="27" t="s">
        <v>192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8</v>
      </c>
      <c r="AF605" s="1">
        <v>42999</v>
      </c>
      <c r="AG605" s="33">
        <f t="shared" si="38"/>
        <v>0.00018605083839159</v>
      </c>
      <c r="AH605" s="1">
        <v>6</v>
      </c>
      <c r="AI605" s="1">
        <v>114</v>
      </c>
      <c r="AJ605" s="1">
        <v>37</v>
      </c>
    </row>
    <row r="606" s="2" customFormat="1" spans="1:36">
      <c r="A606" s="2" t="str">
        <f>VLOOKUP(B606,'[1]2. ISIC行业分类'!$A$2:$B$102,2,FALSE)</f>
        <v>C3250</v>
      </c>
      <c r="B606" s="14" t="s">
        <v>191</v>
      </c>
      <c r="C606" s="15" t="s">
        <v>44</v>
      </c>
      <c r="D606" s="16">
        <v>322.8</v>
      </c>
      <c r="E606" s="16">
        <v>6127.5</v>
      </c>
      <c r="F606" s="17">
        <f t="shared" si="39"/>
        <v>0.0526805385556916</v>
      </c>
      <c r="G606" s="16">
        <v>12218.3</v>
      </c>
      <c r="H606" s="16">
        <v>24417.7</v>
      </c>
      <c r="I606" s="24">
        <v>0.50038701433796</v>
      </c>
      <c r="J606" s="25">
        <v>6599.4</v>
      </c>
      <c r="K606" s="24">
        <v>0.270271155759961</v>
      </c>
      <c r="L606" s="16">
        <v>-138.9</v>
      </c>
      <c r="M606" s="24">
        <v>-0.0056884964595355</v>
      </c>
      <c r="N606" s="26">
        <v>20000</v>
      </c>
      <c r="O606" s="27" t="s">
        <v>192</v>
      </c>
      <c r="P606" s="1">
        <v>1</v>
      </c>
      <c r="Q606" s="1">
        <v>2</v>
      </c>
      <c r="R606" s="1">
        <v>0</v>
      </c>
      <c r="S606" s="1">
        <v>2</v>
      </c>
      <c r="T606" s="1">
        <v>0</v>
      </c>
      <c r="U606" s="1">
        <v>0</v>
      </c>
      <c r="V606" s="1">
        <v>1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12</v>
      </c>
      <c r="AF606" s="1">
        <v>44726</v>
      </c>
      <c r="AG606" s="33">
        <f t="shared" si="38"/>
        <v>0.000268300317488709</v>
      </c>
      <c r="AH606" s="1">
        <v>7</v>
      </c>
      <c r="AI606" s="1">
        <v>144</v>
      </c>
      <c r="AJ606" s="1">
        <v>16</v>
      </c>
    </row>
    <row r="607" s="2" customFormat="1" spans="1:36">
      <c r="A607" s="2" t="str">
        <f>VLOOKUP(B607,'[1]2. ISIC行业分类'!$A$2:$B$102,2,FALSE)</f>
        <v>C3250</v>
      </c>
      <c r="B607" s="14" t="s">
        <v>191</v>
      </c>
      <c r="C607" s="15" t="s">
        <v>45</v>
      </c>
      <c r="D607" s="16">
        <v>435.8</v>
      </c>
      <c r="E607" s="16">
        <v>6827.3</v>
      </c>
      <c r="F607" s="17">
        <f t="shared" si="39"/>
        <v>0.06383196871384</v>
      </c>
      <c r="G607" s="16">
        <v>10790</v>
      </c>
      <c r="H607" s="16">
        <v>23456.4</v>
      </c>
      <c r="I607" s="24">
        <v>0.460002387408127</v>
      </c>
      <c r="J607" s="25">
        <v>6357.1</v>
      </c>
      <c r="K607" s="24">
        <v>0.271017717978889</v>
      </c>
      <c r="L607" s="16">
        <v>401.6</v>
      </c>
      <c r="M607" s="24">
        <v>0.0171211268566361</v>
      </c>
      <c r="N607" s="26">
        <v>19500</v>
      </c>
      <c r="O607" s="27" t="s">
        <v>192</v>
      </c>
      <c r="P607" s="1">
        <v>0</v>
      </c>
      <c r="Q607" s="1">
        <v>2</v>
      </c>
      <c r="R607" s="1">
        <v>0</v>
      </c>
      <c r="S607" s="1">
        <v>2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8</v>
      </c>
      <c r="AF607" s="1">
        <v>44537</v>
      </c>
      <c r="AG607" s="33">
        <f t="shared" si="38"/>
        <v>0.000179625929002852</v>
      </c>
      <c r="AH607" s="1">
        <v>1</v>
      </c>
      <c r="AI607" s="1">
        <v>9</v>
      </c>
      <c r="AJ607" s="1">
        <v>2</v>
      </c>
    </row>
    <row r="608" s="2" customFormat="1" spans="1:36">
      <c r="A608" s="2" t="str">
        <f>VLOOKUP(B608,'[1]2. ISIC行业分类'!$A$2:$B$102,2,FALSE)</f>
        <v>C2100</v>
      </c>
      <c r="B608" s="18" t="s">
        <v>193</v>
      </c>
      <c r="C608" s="19" t="s">
        <v>37</v>
      </c>
      <c r="D608" s="20">
        <v>0</v>
      </c>
      <c r="E608" s="20">
        <v>0.30984</v>
      </c>
      <c r="F608" s="17">
        <f t="shared" si="39"/>
        <v>0</v>
      </c>
      <c r="G608" s="20">
        <v>1.66458</v>
      </c>
      <c r="H608" s="20">
        <v>4.02595</v>
      </c>
      <c r="I608" s="28">
        <v>0.413462660986848</v>
      </c>
      <c r="J608" s="29">
        <v>4.43621</v>
      </c>
      <c r="K608" s="28">
        <v>1.10190389845875</v>
      </c>
      <c r="L608" s="20">
        <v>-1.78672</v>
      </c>
      <c r="M608" s="28">
        <v>-0.443800842037283</v>
      </c>
      <c r="N608" s="30">
        <v>5</v>
      </c>
      <c r="O608" s="31" t="s">
        <v>194</v>
      </c>
      <c r="P608" s="44">
        <v>0</v>
      </c>
      <c r="Q608" s="44">
        <v>0</v>
      </c>
      <c r="R608" s="44">
        <v>0</v>
      </c>
      <c r="S608" s="44">
        <v>0</v>
      </c>
      <c r="T608" s="44">
        <v>0</v>
      </c>
      <c r="U608" s="44">
        <v>0</v>
      </c>
      <c r="V608" s="44">
        <v>0</v>
      </c>
      <c r="W608" s="44">
        <v>0</v>
      </c>
      <c r="X608" s="44">
        <v>0</v>
      </c>
      <c r="Y608" s="37">
        <v>0</v>
      </c>
      <c r="Z608" s="44">
        <v>0</v>
      </c>
      <c r="AA608" s="44">
        <v>0</v>
      </c>
      <c r="AB608" s="44">
        <v>0</v>
      </c>
      <c r="AC608" s="44">
        <v>0</v>
      </c>
      <c r="AD608" s="44">
        <v>0</v>
      </c>
      <c r="AE608" s="44">
        <f t="shared" ref="AE608:AE619" si="40">P608*2+Q608*2+R608*2+S608*1+T608*2+U608*2+V608*2+W608*2+X608*2+Y608*2+Z608*2+AA608*2+AB608*2+AC608*2+AD608*2</f>
        <v>0</v>
      </c>
      <c r="AF608" s="44">
        <v>18002</v>
      </c>
      <c r="AG608" s="45">
        <f t="shared" si="38"/>
        <v>0</v>
      </c>
      <c r="AH608" s="1">
        <v>1</v>
      </c>
      <c r="AI608" s="1">
        <v>6</v>
      </c>
      <c r="AJ608" s="1">
        <v>1</v>
      </c>
    </row>
    <row r="609" s="2" customFormat="1" spans="1:36">
      <c r="A609" s="2" t="str">
        <f>VLOOKUP(B609,'[1]2. ISIC行业分类'!$A$2:$B$102,2,FALSE)</f>
        <v>C2100</v>
      </c>
      <c r="B609" s="18" t="s">
        <v>193</v>
      </c>
      <c r="C609" s="19">
        <v>2015</v>
      </c>
      <c r="D609" s="20">
        <v>0</v>
      </c>
      <c r="E609" s="20">
        <v>0.79037</v>
      </c>
      <c r="F609" s="17">
        <f t="shared" si="39"/>
        <v>0</v>
      </c>
      <c r="G609" s="20">
        <v>1.224</v>
      </c>
      <c r="H609" s="20">
        <v>2.88622</v>
      </c>
      <c r="I609" s="28">
        <v>0.424084096153446</v>
      </c>
      <c r="J609" s="29">
        <v>2.81976</v>
      </c>
      <c r="K609" s="28">
        <v>0.976973342295459</v>
      </c>
      <c r="L609" s="20">
        <v>-4.19913</v>
      </c>
      <c r="M609" s="28">
        <v>-1.45488909369348</v>
      </c>
      <c r="N609" s="30">
        <v>8</v>
      </c>
      <c r="O609" s="31" t="s">
        <v>194</v>
      </c>
      <c r="P609" s="44">
        <v>0</v>
      </c>
      <c r="Q609" s="44">
        <v>0</v>
      </c>
      <c r="R609" s="44">
        <v>0</v>
      </c>
      <c r="S609" s="44">
        <v>0</v>
      </c>
      <c r="T609" s="44">
        <v>0</v>
      </c>
      <c r="U609" s="44">
        <v>0</v>
      </c>
      <c r="V609" s="44">
        <v>0</v>
      </c>
      <c r="W609" s="44">
        <v>0</v>
      </c>
      <c r="X609" s="44">
        <v>0</v>
      </c>
      <c r="Y609" s="37">
        <v>0</v>
      </c>
      <c r="Z609" s="44">
        <v>0</v>
      </c>
      <c r="AA609" s="44">
        <v>0</v>
      </c>
      <c r="AB609" s="44">
        <v>0</v>
      </c>
      <c r="AC609" s="44">
        <v>0</v>
      </c>
      <c r="AD609" s="44">
        <v>0</v>
      </c>
      <c r="AE609" s="44">
        <f t="shared" si="40"/>
        <v>0</v>
      </c>
      <c r="AF609" s="44">
        <v>17374</v>
      </c>
      <c r="AG609" s="45">
        <f t="shared" si="38"/>
        <v>0</v>
      </c>
      <c r="AH609" s="1">
        <v>0</v>
      </c>
      <c r="AI609" s="1">
        <v>0</v>
      </c>
      <c r="AJ609" s="1">
        <v>0</v>
      </c>
    </row>
    <row r="610" s="2" customFormat="1" spans="1:36">
      <c r="A610" s="2" t="str">
        <f>VLOOKUP(B610,'[1]2. ISIC行业分类'!$A$2:$B$102,2,FALSE)</f>
        <v>C2100</v>
      </c>
      <c r="B610" s="18" t="s">
        <v>193</v>
      </c>
      <c r="C610" s="19">
        <v>2016</v>
      </c>
      <c r="D610" s="20">
        <v>0</v>
      </c>
      <c r="E610" s="20">
        <v>0.40535</v>
      </c>
      <c r="F610" s="17">
        <f t="shared" si="39"/>
        <v>0</v>
      </c>
      <c r="G610" s="20">
        <v>1.44159</v>
      </c>
      <c r="H610" s="20">
        <v>1.65678</v>
      </c>
      <c r="I610" s="28">
        <v>0.870115525296056</v>
      </c>
      <c r="J610" s="29">
        <v>2.7559</v>
      </c>
      <c r="K610" s="28">
        <v>1.66340733229518</v>
      </c>
      <c r="L610" s="20">
        <v>-3.10046</v>
      </c>
      <c r="M610" s="28">
        <v>-1.87137700841391</v>
      </c>
      <c r="N610" s="30">
        <v>7</v>
      </c>
      <c r="O610" s="31" t="s">
        <v>194</v>
      </c>
      <c r="P610" s="44">
        <v>0</v>
      </c>
      <c r="Q610" s="44">
        <v>0</v>
      </c>
      <c r="R610" s="44">
        <v>0</v>
      </c>
      <c r="S610" s="44">
        <v>0</v>
      </c>
      <c r="T610" s="44">
        <v>0</v>
      </c>
      <c r="U610" s="44">
        <v>0</v>
      </c>
      <c r="V610" s="44">
        <v>0</v>
      </c>
      <c r="W610" s="44">
        <v>0</v>
      </c>
      <c r="X610" s="44">
        <v>0</v>
      </c>
      <c r="Y610" s="37">
        <v>0</v>
      </c>
      <c r="Z610" s="44">
        <v>0</v>
      </c>
      <c r="AA610" s="44">
        <v>0</v>
      </c>
      <c r="AB610" s="44">
        <v>0</v>
      </c>
      <c r="AC610" s="44">
        <v>0</v>
      </c>
      <c r="AD610" s="44">
        <v>0</v>
      </c>
      <c r="AE610" s="44">
        <f t="shared" si="40"/>
        <v>0</v>
      </c>
      <c r="AF610" s="44">
        <v>19220</v>
      </c>
      <c r="AG610" s="45">
        <f t="shared" si="38"/>
        <v>0</v>
      </c>
      <c r="AH610" s="1">
        <v>0</v>
      </c>
      <c r="AI610" s="1">
        <v>0</v>
      </c>
      <c r="AJ610" s="1">
        <v>0</v>
      </c>
    </row>
    <row r="611" s="2" customFormat="1" spans="1:36">
      <c r="A611" s="2" t="str">
        <f>VLOOKUP(B611,'[1]2. ISIC行业分类'!$A$2:$B$102,2,FALSE)</f>
        <v>C2100</v>
      </c>
      <c r="B611" s="18" t="s">
        <v>193</v>
      </c>
      <c r="C611" s="19">
        <v>2017</v>
      </c>
      <c r="D611" s="20">
        <v>0</v>
      </c>
      <c r="E611" s="20">
        <v>0.51294</v>
      </c>
      <c r="F611" s="17">
        <f t="shared" si="39"/>
        <v>0</v>
      </c>
      <c r="G611" s="20">
        <v>1.76557</v>
      </c>
      <c r="H611" s="20">
        <v>3.14314</v>
      </c>
      <c r="I611" s="28">
        <v>0.561721717772673</v>
      </c>
      <c r="J611" s="29">
        <v>2.87317</v>
      </c>
      <c r="K611" s="28">
        <v>0.914108184808822</v>
      </c>
      <c r="L611" s="20">
        <v>-3.36604</v>
      </c>
      <c r="M611" s="28">
        <v>-1.0709163448017</v>
      </c>
      <c r="N611" s="30">
        <v>8</v>
      </c>
      <c r="O611" s="31" t="s">
        <v>194</v>
      </c>
      <c r="P611" s="44">
        <v>0</v>
      </c>
      <c r="Q611" s="44">
        <v>0</v>
      </c>
      <c r="R611" s="44">
        <v>0</v>
      </c>
      <c r="S611" s="44">
        <v>0</v>
      </c>
      <c r="T611" s="44">
        <v>0</v>
      </c>
      <c r="U611" s="44">
        <v>0</v>
      </c>
      <c r="V611" s="44">
        <v>0</v>
      </c>
      <c r="W611" s="44">
        <v>0</v>
      </c>
      <c r="X611" s="44">
        <v>0</v>
      </c>
      <c r="Y611" s="37">
        <v>0</v>
      </c>
      <c r="Z611" s="44">
        <v>0</v>
      </c>
      <c r="AA611" s="44">
        <v>0</v>
      </c>
      <c r="AB611" s="44">
        <v>0</v>
      </c>
      <c r="AC611" s="44">
        <v>0</v>
      </c>
      <c r="AD611" s="44">
        <v>0</v>
      </c>
      <c r="AE611" s="44">
        <f t="shared" si="40"/>
        <v>0</v>
      </c>
      <c r="AF611" s="44">
        <v>18203</v>
      </c>
      <c r="AG611" s="45">
        <f t="shared" si="38"/>
        <v>0</v>
      </c>
      <c r="AH611" s="1">
        <v>3</v>
      </c>
      <c r="AI611" s="1">
        <v>149</v>
      </c>
      <c r="AJ611" s="1">
        <v>16</v>
      </c>
    </row>
    <row r="612" s="2" customFormat="1" spans="1:36">
      <c r="A612" s="2" t="str">
        <f>VLOOKUP(B612,'[1]2. ISIC行业分类'!$A$2:$B$102,2,FALSE)</f>
        <v>C2100</v>
      </c>
      <c r="B612" s="18" t="s">
        <v>193</v>
      </c>
      <c r="C612" s="19">
        <v>2018</v>
      </c>
      <c r="D612" s="20">
        <v>0</v>
      </c>
      <c r="E612" s="20">
        <v>6.81194</v>
      </c>
      <c r="F612" s="17">
        <f t="shared" si="39"/>
        <v>0</v>
      </c>
      <c r="G612" s="20">
        <v>3.02165</v>
      </c>
      <c r="H612" s="20">
        <v>42.90199</v>
      </c>
      <c r="I612" s="28">
        <v>0.0704314648341487</v>
      </c>
      <c r="J612" s="29">
        <v>2.85493</v>
      </c>
      <c r="K612" s="28">
        <v>0.066545398010675</v>
      </c>
      <c r="L612" s="20">
        <v>-1.67161</v>
      </c>
      <c r="M612" s="28">
        <v>-0.0389634606693069</v>
      </c>
      <c r="N612" s="30">
        <v>17</v>
      </c>
      <c r="O612" s="31" t="s">
        <v>194</v>
      </c>
      <c r="P612" s="44">
        <v>0</v>
      </c>
      <c r="Q612" s="44">
        <v>0</v>
      </c>
      <c r="R612" s="44">
        <v>0</v>
      </c>
      <c r="S612" s="44">
        <v>0</v>
      </c>
      <c r="T612" s="44">
        <v>0</v>
      </c>
      <c r="U612" s="44">
        <v>0</v>
      </c>
      <c r="V612" s="44">
        <v>0</v>
      </c>
      <c r="W612" s="44">
        <v>0</v>
      </c>
      <c r="X612" s="44">
        <v>0</v>
      </c>
      <c r="Y612" s="37">
        <v>0</v>
      </c>
      <c r="Z612" s="44">
        <v>0</v>
      </c>
      <c r="AA612" s="44">
        <v>0</v>
      </c>
      <c r="AB612" s="44">
        <v>0</v>
      </c>
      <c r="AC612" s="44">
        <v>0</v>
      </c>
      <c r="AD612" s="44">
        <v>0</v>
      </c>
      <c r="AE612" s="44">
        <f t="shared" si="40"/>
        <v>0</v>
      </c>
      <c r="AF612" s="44">
        <v>22603</v>
      </c>
      <c r="AG612" s="45">
        <f t="shared" si="38"/>
        <v>0</v>
      </c>
      <c r="AH612" s="1">
        <v>0</v>
      </c>
      <c r="AI612" s="1">
        <v>0</v>
      </c>
      <c r="AJ612" s="1">
        <v>0</v>
      </c>
    </row>
    <row r="613" s="2" customFormat="1" spans="1:39">
      <c r="A613" s="2" t="str">
        <f>VLOOKUP(B613,'[1]2. ISIC行业分类'!$A$2:$B$102,2,FALSE)</f>
        <v>C2100</v>
      </c>
      <c r="B613" s="18" t="s">
        <v>193</v>
      </c>
      <c r="C613" s="19" t="s">
        <v>43</v>
      </c>
      <c r="D613" s="20">
        <v>0</v>
      </c>
      <c r="E613" s="20">
        <v>2.92586</v>
      </c>
      <c r="F613" s="17">
        <f t="shared" si="39"/>
        <v>0</v>
      </c>
      <c r="G613" s="20">
        <v>7.74908</v>
      </c>
      <c r="H613" s="20">
        <v>34.10334</v>
      </c>
      <c r="I613" s="28">
        <v>0.227223491892583</v>
      </c>
      <c r="J613" s="29">
        <v>3.82516</v>
      </c>
      <c r="K613" s="28">
        <v>0.112163793927516</v>
      </c>
      <c r="L613" s="20">
        <v>-15.26149</v>
      </c>
      <c r="M613" s="28">
        <v>-0.44750719431</v>
      </c>
      <c r="N613" s="30">
        <v>19</v>
      </c>
      <c r="O613" s="31" t="s">
        <v>194</v>
      </c>
      <c r="P613" s="44">
        <v>0</v>
      </c>
      <c r="Q613" s="44">
        <v>0</v>
      </c>
      <c r="R613" s="44">
        <v>0</v>
      </c>
      <c r="S613" s="44">
        <v>0</v>
      </c>
      <c r="T613" s="44">
        <v>0</v>
      </c>
      <c r="U613" s="44">
        <v>0</v>
      </c>
      <c r="V613" s="44">
        <v>0</v>
      </c>
      <c r="W613" s="44">
        <v>0</v>
      </c>
      <c r="X613" s="44">
        <v>0</v>
      </c>
      <c r="Y613" s="37">
        <v>0</v>
      </c>
      <c r="Z613" s="44">
        <v>0</v>
      </c>
      <c r="AA613" s="44">
        <v>0</v>
      </c>
      <c r="AB613" s="44">
        <v>0</v>
      </c>
      <c r="AC613" s="44">
        <v>0</v>
      </c>
      <c r="AD613" s="44">
        <v>0</v>
      </c>
      <c r="AE613" s="44">
        <f t="shared" si="40"/>
        <v>0</v>
      </c>
      <c r="AF613" s="44">
        <v>23806</v>
      </c>
      <c r="AG613" s="45">
        <f t="shared" si="38"/>
        <v>0</v>
      </c>
      <c r="AH613" s="1">
        <v>1</v>
      </c>
      <c r="AI613" s="1">
        <v>9</v>
      </c>
      <c r="AJ613" s="1">
        <v>1</v>
      </c>
      <c r="AK613" s="1"/>
      <c r="AL613" s="1"/>
      <c r="AM613" s="1"/>
    </row>
    <row r="614" s="2" customFormat="1" spans="1:39">
      <c r="A614" s="2" t="str">
        <f>VLOOKUP(B614,'[1]2. ISIC行业分类'!$A$2:$B$102,2,FALSE)</f>
        <v>B0710</v>
      </c>
      <c r="B614" s="18" t="s">
        <v>195</v>
      </c>
      <c r="C614" s="19">
        <v>2015</v>
      </c>
      <c r="D614" s="20">
        <v>0</v>
      </c>
      <c r="E614" s="20">
        <v>20455</v>
      </c>
      <c r="F614" s="17">
        <f t="shared" si="39"/>
        <v>0</v>
      </c>
      <c r="G614" s="20">
        <v>30671</v>
      </c>
      <c r="H614" s="20">
        <v>52013</v>
      </c>
      <c r="I614" s="28">
        <v>0.589679503201123</v>
      </c>
      <c r="J614" s="29">
        <v>59899</v>
      </c>
      <c r="K614" s="28">
        <v>1.1516159421683</v>
      </c>
      <c r="L614" s="20">
        <v>-5624</v>
      </c>
      <c r="M614" s="28">
        <v>-0.108126814450234</v>
      </c>
      <c r="N614" s="30">
        <v>128000</v>
      </c>
      <c r="O614" s="31" t="s">
        <v>196</v>
      </c>
      <c r="P614" s="44">
        <v>0</v>
      </c>
      <c r="Q614" s="44">
        <v>0</v>
      </c>
      <c r="R614" s="44">
        <v>0</v>
      </c>
      <c r="S614" s="44">
        <v>1</v>
      </c>
      <c r="T614" s="44">
        <v>0</v>
      </c>
      <c r="U614" s="44">
        <v>1</v>
      </c>
      <c r="V614" s="44">
        <v>0</v>
      </c>
      <c r="W614" s="44">
        <v>0</v>
      </c>
      <c r="X614" s="44">
        <v>0</v>
      </c>
      <c r="Y614" s="37">
        <v>0</v>
      </c>
      <c r="Z614" s="44">
        <v>0</v>
      </c>
      <c r="AA614" s="44">
        <v>0</v>
      </c>
      <c r="AB614" s="44">
        <v>0</v>
      </c>
      <c r="AC614" s="44">
        <v>0</v>
      </c>
      <c r="AD614" s="44">
        <v>0</v>
      </c>
      <c r="AE614" s="44">
        <f t="shared" si="40"/>
        <v>3</v>
      </c>
      <c r="AF614" s="44">
        <v>86015</v>
      </c>
      <c r="AG614" s="45">
        <f t="shared" si="38"/>
        <v>3.48776376213451e-5</v>
      </c>
      <c r="AH614" s="1">
        <v>1</v>
      </c>
      <c r="AI614" s="1">
        <v>64</v>
      </c>
      <c r="AJ614" s="1">
        <v>13</v>
      </c>
      <c r="AK614" s="1"/>
      <c r="AL614" s="1"/>
      <c r="AM614" s="1"/>
    </row>
    <row r="615" s="2" customFormat="1" spans="1:39">
      <c r="A615" s="2" t="str">
        <f>VLOOKUP(B615,'[1]2. ISIC行业分类'!$A$2:$B$102,2,FALSE)</f>
        <v>B0710</v>
      </c>
      <c r="B615" s="18" t="s">
        <v>195</v>
      </c>
      <c r="C615" s="19">
        <v>2016</v>
      </c>
      <c r="D615" s="20">
        <v>0</v>
      </c>
      <c r="E615" s="20">
        <v>21378</v>
      </c>
      <c r="F615" s="17">
        <f t="shared" si="39"/>
        <v>0</v>
      </c>
      <c r="G615" s="20">
        <v>25824</v>
      </c>
      <c r="H615" s="20">
        <v>50149</v>
      </c>
      <c r="I615" s="28">
        <v>0.514945462521685</v>
      </c>
      <c r="J615" s="29">
        <v>60500</v>
      </c>
      <c r="K615" s="28">
        <v>1.20640491335819</v>
      </c>
      <c r="L615" s="20">
        <v>1594</v>
      </c>
      <c r="M615" s="28">
        <v>0.0317852798659993</v>
      </c>
      <c r="N615" s="30">
        <v>95000</v>
      </c>
      <c r="O615" s="31" t="s">
        <v>196</v>
      </c>
      <c r="P615" s="44">
        <v>0</v>
      </c>
      <c r="Q615" s="44">
        <v>0</v>
      </c>
      <c r="R615" s="44">
        <v>0</v>
      </c>
      <c r="S615" s="44">
        <v>0</v>
      </c>
      <c r="T615" s="44">
        <v>0</v>
      </c>
      <c r="U615" s="44">
        <v>0</v>
      </c>
      <c r="V615" s="44">
        <v>0</v>
      </c>
      <c r="W615" s="44">
        <v>0</v>
      </c>
      <c r="X615" s="44">
        <v>0</v>
      </c>
      <c r="Y615" s="37">
        <v>0</v>
      </c>
      <c r="Z615" s="44">
        <v>0</v>
      </c>
      <c r="AA615" s="44">
        <v>0</v>
      </c>
      <c r="AB615" s="44">
        <v>0</v>
      </c>
      <c r="AC615" s="44">
        <v>0</v>
      </c>
      <c r="AD615" s="44">
        <v>0</v>
      </c>
      <c r="AE615" s="44">
        <f t="shared" si="40"/>
        <v>0</v>
      </c>
      <c r="AF615" s="44">
        <v>95079</v>
      </c>
      <c r="AG615" s="45">
        <f t="shared" si="38"/>
        <v>0</v>
      </c>
      <c r="AH615" s="1">
        <v>0</v>
      </c>
      <c r="AI615" s="1">
        <v>0</v>
      </c>
      <c r="AJ615" s="1">
        <v>0</v>
      </c>
      <c r="AK615" s="1"/>
      <c r="AL615" s="1"/>
      <c r="AM615" s="1"/>
    </row>
    <row r="616" s="2" customFormat="1" spans="1:39">
      <c r="A616" s="2" t="str">
        <f>VLOOKUP(B616,'[1]2. ISIC行业分类'!$A$2:$B$102,2,FALSE)</f>
        <v>B0710</v>
      </c>
      <c r="B616" s="18" t="s">
        <v>195</v>
      </c>
      <c r="C616" s="19">
        <v>2017</v>
      </c>
      <c r="D616" s="20">
        <v>0</v>
      </c>
      <c r="E616" s="20">
        <v>26243</v>
      </c>
      <c r="F616" s="17">
        <f t="shared" si="39"/>
        <v>0</v>
      </c>
      <c r="G616" s="20">
        <v>25679</v>
      </c>
      <c r="H616" s="20">
        <v>54561</v>
      </c>
      <c r="I616" s="28">
        <v>0.470647532120012</v>
      </c>
      <c r="J616" s="29">
        <v>64388</v>
      </c>
      <c r="K616" s="28">
        <v>1.18011033522113</v>
      </c>
      <c r="L616" s="20">
        <v>3166</v>
      </c>
      <c r="M616" s="28">
        <v>0.0580267956965598</v>
      </c>
      <c r="N616" s="30">
        <v>69000</v>
      </c>
      <c r="O616" s="31" t="s">
        <v>196</v>
      </c>
      <c r="P616" s="44">
        <v>0</v>
      </c>
      <c r="Q616" s="44">
        <v>0</v>
      </c>
      <c r="R616" s="44">
        <v>0</v>
      </c>
      <c r="S616" s="44">
        <v>0</v>
      </c>
      <c r="T616" s="44">
        <v>0</v>
      </c>
      <c r="U616" s="44">
        <v>0</v>
      </c>
      <c r="V616" s="44">
        <v>0</v>
      </c>
      <c r="W616" s="44">
        <v>0</v>
      </c>
      <c r="X616" s="44">
        <v>0</v>
      </c>
      <c r="Y616" s="37">
        <v>0</v>
      </c>
      <c r="Z616" s="44">
        <v>0</v>
      </c>
      <c r="AA616" s="44">
        <v>0</v>
      </c>
      <c r="AB616" s="44">
        <v>0</v>
      </c>
      <c r="AC616" s="44">
        <v>0</v>
      </c>
      <c r="AD616" s="44">
        <v>1</v>
      </c>
      <c r="AE616" s="44">
        <f t="shared" si="40"/>
        <v>2</v>
      </c>
      <c r="AF616" s="44">
        <v>96551</v>
      </c>
      <c r="AG616" s="45">
        <f t="shared" si="38"/>
        <v>2.07144410725938e-5</v>
      </c>
      <c r="AH616" s="1">
        <v>3</v>
      </c>
      <c r="AI616" s="1">
        <v>62</v>
      </c>
      <c r="AJ616" s="1">
        <v>14</v>
      </c>
      <c r="AK616" s="1"/>
      <c r="AL616" s="1"/>
      <c r="AM616" s="1"/>
    </row>
    <row r="617" s="2" customFormat="1" spans="1:39">
      <c r="A617" s="2" t="str">
        <f>VLOOKUP(B617,'[1]2. ISIC行业分类'!$A$2:$B$102,2,FALSE)</f>
        <v>B0710</v>
      </c>
      <c r="B617" s="18" t="s">
        <v>195</v>
      </c>
      <c r="C617" s="19">
        <v>2018</v>
      </c>
      <c r="D617" s="20">
        <v>0</v>
      </c>
      <c r="E617" s="20">
        <v>27610</v>
      </c>
      <c r="F617" s="17">
        <f t="shared" si="39"/>
        <v>0</v>
      </c>
      <c r="G617" s="20">
        <v>22364</v>
      </c>
      <c r="H617" s="20">
        <v>52196</v>
      </c>
      <c r="I617" s="28">
        <v>0.428461951107365</v>
      </c>
      <c r="J617" s="29">
        <v>63279</v>
      </c>
      <c r="K617" s="28">
        <v>1.21233427848877</v>
      </c>
      <c r="L617" s="20">
        <v>3549</v>
      </c>
      <c r="M617" s="28">
        <v>0.0679937159935627</v>
      </c>
      <c r="N617" s="30">
        <v>64000</v>
      </c>
      <c r="O617" s="31" t="s">
        <v>196</v>
      </c>
      <c r="P617" s="44">
        <v>2</v>
      </c>
      <c r="Q617" s="44">
        <v>1</v>
      </c>
      <c r="R617" s="44">
        <v>0</v>
      </c>
      <c r="S617" s="44">
        <v>2</v>
      </c>
      <c r="T617" s="44">
        <v>0</v>
      </c>
      <c r="U617" s="44">
        <v>2</v>
      </c>
      <c r="V617" s="44">
        <v>6</v>
      </c>
      <c r="W617" s="44">
        <v>0</v>
      </c>
      <c r="X617" s="44">
        <v>0</v>
      </c>
      <c r="Y617" s="37">
        <v>0</v>
      </c>
      <c r="Z617" s="44">
        <v>0</v>
      </c>
      <c r="AA617" s="44">
        <v>0</v>
      </c>
      <c r="AB617" s="44">
        <v>0</v>
      </c>
      <c r="AC617" s="44">
        <v>0</v>
      </c>
      <c r="AD617" s="44">
        <v>0</v>
      </c>
      <c r="AE617" s="44">
        <f t="shared" si="40"/>
        <v>24</v>
      </c>
      <c r="AF617" s="44">
        <v>103664</v>
      </c>
      <c r="AG617" s="45">
        <f t="shared" si="38"/>
        <v>0.000231517209445902</v>
      </c>
      <c r="AH617" s="1">
        <v>1</v>
      </c>
      <c r="AI617" s="1">
        <v>13</v>
      </c>
      <c r="AJ617" s="1">
        <v>0</v>
      </c>
      <c r="AK617" s="1"/>
      <c r="AL617" s="1"/>
      <c r="AM617" s="1"/>
    </row>
    <row r="618" s="2" customFormat="1" spans="1:39">
      <c r="A618" s="2" t="str">
        <f>VLOOKUP(B618,'[1]2. ISIC行业分类'!$A$2:$B$102,2,FALSE)</f>
        <v>B0710</v>
      </c>
      <c r="B618" s="18" t="s">
        <v>195</v>
      </c>
      <c r="C618" s="19">
        <v>2019</v>
      </c>
      <c r="D618" s="20">
        <v>0</v>
      </c>
      <c r="E618" s="20">
        <v>29870</v>
      </c>
      <c r="F618" s="17">
        <f t="shared" si="39"/>
        <v>0</v>
      </c>
      <c r="G618" s="20">
        <v>24767</v>
      </c>
      <c r="H618" s="20">
        <v>56152</v>
      </c>
      <c r="I618" s="28">
        <v>0.441070665336943</v>
      </c>
      <c r="J618" s="29">
        <v>68104</v>
      </c>
      <c r="K618" s="28">
        <v>1.21285083345206</v>
      </c>
      <c r="L618" s="20">
        <v>3547</v>
      </c>
      <c r="M618" s="28">
        <v>0.0631678301752386</v>
      </c>
      <c r="N618" s="30">
        <v>60000</v>
      </c>
      <c r="O618" s="31" t="s">
        <v>196</v>
      </c>
      <c r="P618" s="44">
        <v>1</v>
      </c>
      <c r="Q618" s="44">
        <v>2</v>
      </c>
      <c r="R618" s="44">
        <v>0</v>
      </c>
      <c r="S618" s="44">
        <v>0</v>
      </c>
      <c r="T618" s="44">
        <v>1</v>
      </c>
      <c r="U618" s="44">
        <v>0</v>
      </c>
      <c r="V618" s="44">
        <v>1</v>
      </c>
      <c r="W618" s="44">
        <v>1</v>
      </c>
      <c r="X618" s="44">
        <v>0</v>
      </c>
      <c r="Y618" s="37">
        <v>0</v>
      </c>
      <c r="Z618" s="44">
        <v>0</v>
      </c>
      <c r="AA618" s="44">
        <v>0</v>
      </c>
      <c r="AB618" s="44">
        <v>0</v>
      </c>
      <c r="AC618" s="44">
        <v>0</v>
      </c>
      <c r="AD618" s="44">
        <v>0</v>
      </c>
      <c r="AE618" s="44">
        <f t="shared" si="40"/>
        <v>12</v>
      </c>
      <c r="AF618" s="44">
        <v>116816</v>
      </c>
      <c r="AG618" s="45">
        <f t="shared" si="38"/>
        <v>0.000102725654019997</v>
      </c>
      <c r="AH618" s="1">
        <v>0</v>
      </c>
      <c r="AI618" s="1">
        <v>0</v>
      </c>
      <c r="AJ618" s="1">
        <v>0</v>
      </c>
      <c r="AK618" s="1"/>
      <c r="AL618" s="1"/>
      <c r="AM618" s="1"/>
    </row>
    <row r="619" s="2" customFormat="1" spans="1:36">
      <c r="A619" s="2" t="str">
        <f>VLOOKUP(B619,'[1]2. ISIC行业分类'!$A$2:$B$102,2,FALSE)</f>
        <v>B0710</v>
      </c>
      <c r="B619" s="18" t="s">
        <v>195</v>
      </c>
      <c r="C619" s="19">
        <v>2020</v>
      </c>
      <c r="D619" s="20">
        <v>0</v>
      </c>
      <c r="E619" s="20">
        <v>25447</v>
      </c>
      <c r="F619" s="17">
        <f t="shared" si="39"/>
        <v>0</v>
      </c>
      <c r="G619" s="20">
        <v>29768</v>
      </c>
      <c r="H619" s="20">
        <v>62534</v>
      </c>
      <c r="I619" s="28">
        <v>0.47602904020213</v>
      </c>
      <c r="J619" s="29">
        <v>73587</v>
      </c>
      <c r="K619" s="28">
        <v>1.17675184699523</v>
      </c>
      <c r="L619" s="20">
        <v>2089</v>
      </c>
      <c r="M619" s="28">
        <v>0.0334058272299869</v>
      </c>
      <c r="N619" s="30">
        <v>95000</v>
      </c>
      <c r="O619" s="31" t="s">
        <v>196</v>
      </c>
      <c r="P619" s="44">
        <v>1</v>
      </c>
      <c r="Q619" s="44">
        <v>0</v>
      </c>
      <c r="R619" s="44">
        <v>0</v>
      </c>
      <c r="S619" s="44">
        <v>0</v>
      </c>
      <c r="T619" s="44">
        <v>1</v>
      </c>
      <c r="U619" s="44">
        <v>1</v>
      </c>
      <c r="V619" s="44">
        <v>1</v>
      </c>
      <c r="W619" s="44">
        <v>1</v>
      </c>
      <c r="X619" s="44">
        <v>0</v>
      </c>
      <c r="Y619" s="37">
        <v>0</v>
      </c>
      <c r="Z619" s="44">
        <v>0</v>
      </c>
      <c r="AA619" s="44">
        <v>0</v>
      </c>
      <c r="AB619" s="44">
        <v>0</v>
      </c>
      <c r="AC619" s="44">
        <v>0</v>
      </c>
      <c r="AD619" s="44">
        <v>0</v>
      </c>
      <c r="AE619" s="44">
        <f t="shared" si="40"/>
        <v>10</v>
      </c>
      <c r="AF619" s="44">
        <v>125273</v>
      </c>
      <c r="AG619" s="45">
        <f t="shared" si="38"/>
        <v>7.98256607569069e-5</v>
      </c>
      <c r="AH619" s="1">
        <v>1</v>
      </c>
      <c r="AI619" s="1">
        <v>13</v>
      </c>
      <c r="AJ619" s="1">
        <v>1</v>
      </c>
    </row>
    <row r="620" s="2" customFormat="1" spans="1:36">
      <c r="A620" s="2" t="str">
        <f>VLOOKUP(B620,'[1]2. ISIC行业分类'!$A$2:$B$102,2,FALSE)</f>
        <v>J6110</v>
      </c>
      <c r="B620" s="18" t="s">
        <v>197</v>
      </c>
      <c r="C620" s="19">
        <v>2014</v>
      </c>
      <c r="D620" s="20">
        <v>40.77072</v>
      </c>
      <c r="E620" s="20">
        <v>440.62576</v>
      </c>
      <c r="F620" s="17">
        <f t="shared" si="39"/>
        <v>0.0925291340206709</v>
      </c>
      <c r="G620" s="20">
        <v>206.87364</v>
      </c>
      <c r="H620" s="20">
        <v>315.49489</v>
      </c>
      <c r="I620" s="28">
        <v>0.655711539416692</v>
      </c>
      <c r="J620" s="29">
        <v>90.6016</v>
      </c>
      <c r="K620" s="28">
        <v>0.287172955479564</v>
      </c>
      <c r="L620" s="20">
        <v>37.75066</v>
      </c>
      <c r="M620" s="28">
        <v>0.119655376985662</v>
      </c>
      <c r="N620" s="30">
        <v>1696</v>
      </c>
      <c r="O620" s="31">
        <v>1987</v>
      </c>
      <c r="AH620" s="1">
        <v>1</v>
      </c>
      <c r="AI620" s="1">
        <v>7</v>
      </c>
      <c r="AJ620" s="1">
        <v>5</v>
      </c>
    </row>
    <row r="621" s="2" customFormat="1" spans="1:38">
      <c r="A621" s="2" t="str">
        <f>VLOOKUP(B621,'[1]2. ISIC行业分类'!$A$2:$B$102,2,FALSE)</f>
        <v>J6110</v>
      </c>
      <c r="B621" s="18" t="s">
        <v>197</v>
      </c>
      <c r="C621" s="19">
        <v>2015</v>
      </c>
      <c r="D621" s="20">
        <v>42.6484</v>
      </c>
      <c r="E621" s="20">
        <v>410.30353</v>
      </c>
      <c r="F621" s="17">
        <f t="shared" si="39"/>
        <v>0.103943536630065</v>
      </c>
      <c r="G621" s="20">
        <v>169.49491</v>
      </c>
      <c r="H621" s="20">
        <v>286.05388</v>
      </c>
      <c r="I621" s="28">
        <v>0.592527918167025</v>
      </c>
      <c r="J621" s="29">
        <v>64.02253</v>
      </c>
      <c r="K621" s="28">
        <v>0.223812835539934</v>
      </c>
      <c r="L621" s="20">
        <v>24.27063</v>
      </c>
      <c r="M621" s="28">
        <v>0.0848463583154334</v>
      </c>
      <c r="N621" s="30">
        <v>1658</v>
      </c>
      <c r="O621" s="31">
        <v>1987</v>
      </c>
      <c r="AH621" s="1">
        <v>0</v>
      </c>
      <c r="AI621" s="1">
        <v>0</v>
      </c>
      <c r="AJ621" s="1">
        <v>0</v>
      </c>
      <c r="AK621" s="1"/>
      <c r="AL621" s="1"/>
    </row>
    <row r="622" s="2" customFormat="1" spans="1:38">
      <c r="A622" s="2" t="str">
        <f>VLOOKUP(B622,'[1]2. ISIC行业分类'!$A$2:$B$102,2,FALSE)</f>
        <v>J6110</v>
      </c>
      <c r="B622" s="18" t="s">
        <v>197</v>
      </c>
      <c r="C622" s="19">
        <v>2016</v>
      </c>
      <c r="D622" s="20">
        <v>39.5755</v>
      </c>
      <c r="E622" s="20">
        <v>348.796</v>
      </c>
      <c r="F622" s="17">
        <f t="shared" si="39"/>
        <v>0.113463170449202</v>
      </c>
      <c r="G622" s="20">
        <v>141.95987</v>
      </c>
      <c r="H622" s="20">
        <v>221.6031</v>
      </c>
      <c r="I622" s="28">
        <v>0.640604170248521</v>
      </c>
      <c r="J622" s="29">
        <v>51.29063</v>
      </c>
      <c r="K622" s="28">
        <v>0.231452673721622</v>
      </c>
      <c r="L622" s="20">
        <v>-143.43657</v>
      </c>
      <c r="M622" s="28">
        <v>-0.647267885692935</v>
      </c>
      <c r="N622" s="30">
        <v>1188</v>
      </c>
      <c r="O622" s="31">
        <v>1987</v>
      </c>
      <c r="P622" s="44">
        <v>0</v>
      </c>
      <c r="Q622" s="44">
        <v>0</v>
      </c>
      <c r="R622" s="44">
        <v>0</v>
      </c>
      <c r="S622" s="44">
        <v>0</v>
      </c>
      <c r="T622" s="44">
        <v>0</v>
      </c>
      <c r="U622" s="44">
        <v>0</v>
      </c>
      <c r="V622" s="44">
        <v>0</v>
      </c>
      <c r="W622" s="44">
        <v>0</v>
      </c>
      <c r="X622" s="44">
        <v>0</v>
      </c>
      <c r="Y622" s="37">
        <v>0</v>
      </c>
      <c r="Z622" s="44">
        <v>0</v>
      </c>
      <c r="AA622" s="44">
        <v>0</v>
      </c>
      <c r="AB622" s="44">
        <v>0</v>
      </c>
      <c r="AC622" s="44">
        <v>0</v>
      </c>
      <c r="AD622" s="44">
        <v>0</v>
      </c>
      <c r="AE622" s="44">
        <f t="shared" ref="AE622:AE641" si="41">P622*2+Q622*2+R622*2+S622*1+T622*2+U622*2+V622*2+W622*2+X622*2+Y622*2+Z622*2+AA622*2+AB622*2+AC622*2+AD622*2</f>
        <v>0</v>
      </c>
      <c r="AF622" s="44">
        <v>30401</v>
      </c>
      <c r="AG622" s="45">
        <f t="shared" ref="AG622:AG641" si="42">AE622/AF622</f>
        <v>0</v>
      </c>
      <c r="AH622" s="1">
        <v>1</v>
      </c>
      <c r="AI622" s="1">
        <v>10</v>
      </c>
      <c r="AJ622" s="1">
        <v>2</v>
      </c>
      <c r="AK622" s="1"/>
      <c r="AL622" s="1"/>
    </row>
    <row r="623" s="2" customFormat="1" spans="1:38">
      <c r="A623" s="2" t="str">
        <f>VLOOKUP(B623,'[1]2. ISIC行业分类'!$A$2:$B$102,2,FALSE)</f>
        <v>J6110</v>
      </c>
      <c r="B623" s="18" t="s">
        <v>197</v>
      </c>
      <c r="C623" s="19">
        <v>2017</v>
      </c>
      <c r="D623" s="20">
        <v>29.85963</v>
      </c>
      <c r="E623" s="20">
        <v>317.78444</v>
      </c>
      <c r="F623" s="17">
        <f t="shared" si="39"/>
        <v>0.0939619007148368</v>
      </c>
      <c r="G623" s="20">
        <v>150.32425</v>
      </c>
      <c r="H623" s="20">
        <v>235.5935</v>
      </c>
      <c r="I623" s="28">
        <v>0.638066203014939</v>
      </c>
      <c r="J623" s="29">
        <v>57.25661</v>
      </c>
      <c r="K623" s="28">
        <v>0.243031365466365</v>
      </c>
      <c r="L623" s="20">
        <v>26.5761</v>
      </c>
      <c r="M623" s="28">
        <v>0.112804894871887</v>
      </c>
      <c r="N623" s="30">
        <v>1223</v>
      </c>
      <c r="O623" s="31">
        <v>1987</v>
      </c>
      <c r="P623" s="44">
        <v>0</v>
      </c>
      <c r="Q623" s="44">
        <v>0</v>
      </c>
      <c r="R623" s="44">
        <v>0</v>
      </c>
      <c r="S623" s="44">
        <v>0</v>
      </c>
      <c r="T623" s="44">
        <v>0</v>
      </c>
      <c r="U623" s="44">
        <v>0</v>
      </c>
      <c r="V623" s="44">
        <v>2</v>
      </c>
      <c r="W623" s="44">
        <v>0</v>
      </c>
      <c r="X623" s="44">
        <v>0</v>
      </c>
      <c r="Y623" s="37">
        <v>0</v>
      </c>
      <c r="Z623" s="44">
        <v>0</v>
      </c>
      <c r="AA623" s="44">
        <v>0</v>
      </c>
      <c r="AB623" s="44">
        <v>0</v>
      </c>
      <c r="AC623" s="44">
        <v>0</v>
      </c>
      <c r="AD623" s="44">
        <v>0</v>
      </c>
      <c r="AE623" s="44">
        <f t="shared" si="41"/>
        <v>4</v>
      </c>
      <c r="AF623" s="44">
        <v>30672</v>
      </c>
      <c r="AG623" s="45">
        <f t="shared" si="42"/>
        <v>0.000130412102243088</v>
      </c>
      <c r="AH623" s="1">
        <v>0</v>
      </c>
      <c r="AI623" s="1">
        <v>0</v>
      </c>
      <c r="AJ623" s="1">
        <v>0</v>
      </c>
      <c r="AK623" s="1"/>
      <c r="AL623" s="1"/>
    </row>
    <row r="624" s="2" customFormat="1" spans="1:38">
      <c r="A624" s="2" t="str">
        <f>VLOOKUP(B624,'[1]2. ISIC行业分类'!$A$2:$B$102,2,FALSE)</f>
        <v>J6110</v>
      </c>
      <c r="B624" s="18" t="s">
        <v>197</v>
      </c>
      <c r="C624" s="19">
        <v>2018</v>
      </c>
      <c r="D624" s="20">
        <v>32.92817</v>
      </c>
      <c r="E624" s="20">
        <v>323.69202</v>
      </c>
      <c r="F624" s="17">
        <f t="shared" si="39"/>
        <v>0.101726851344683</v>
      </c>
      <c r="G624" s="20">
        <v>137.40396</v>
      </c>
      <c r="H624" s="20">
        <v>221.96024</v>
      </c>
      <c r="I624" s="28">
        <v>0.619047627629165</v>
      </c>
      <c r="J624" s="29">
        <v>54.47376</v>
      </c>
      <c r="K624" s="28">
        <v>0.245421252022434</v>
      </c>
      <c r="L624" s="20">
        <v>21.74885</v>
      </c>
      <c r="M624" s="28">
        <v>0.0979853418792483</v>
      </c>
      <c r="N624" s="30">
        <v>1246</v>
      </c>
      <c r="O624" s="31">
        <v>1987</v>
      </c>
      <c r="P624" s="44">
        <v>0</v>
      </c>
      <c r="Q624" s="44">
        <v>0</v>
      </c>
      <c r="R624" s="44">
        <v>0</v>
      </c>
      <c r="S624" s="44">
        <v>0</v>
      </c>
      <c r="T624" s="44">
        <v>0</v>
      </c>
      <c r="U624" s="44">
        <v>0</v>
      </c>
      <c r="V624" s="44">
        <v>0</v>
      </c>
      <c r="W624" s="44">
        <v>0</v>
      </c>
      <c r="X624" s="44">
        <v>0</v>
      </c>
      <c r="Y624" s="37">
        <v>0</v>
      </c>
      <c r="Z624" s="44">
        <v>0</v>
      </c>
      <c r="AA624" s="44">
        <v>0</v>
      </c>
      <c r="AB624" s="44">
        <v>0</v>
      </c>
      <c r="AC624" s="44">
        <v>0</v>
      </c>
      <c r="AD624" s="44">
        <v>0</v>
      </c>
      <c r="AE624" s="44">
        <f t="shared" si="41"/>
        <v>0</v>
      </c>
      <c r="AF624" s="44">
        <v>29420</v>
      </c>
      <c r="AG624" s="45">
        <f t="shared" si="42"/>
        <v>0</v>
      </c>
      <c r="AH624" s="1">
        <v>0</v>
      </c>
      <c r="AI624" s="1">
        <v>0</v>
      </c>
      <c r="AJ624" s="1">
        <v>0</v>
      </c>
      <c r="AK624" s="1"/>
      <c r="AL624" s="1"/>
    </row>
    <row r="625" s="2" customFormat="1" spans="1:38">
      <c r="A625" s="2" t="str">
        <f>VLOOKUP(B625,'[1]2. ISIC行业分类'!$A$2:$B$102,2,FALSE)</f>
        <v>J6110</v>
      </c>
      <c r="B625" s="18" t="s">
        <v>197</v>
      </c>
      <c r="C625" s="19">
        <v>2019</v>
      </c>
      <c r="D625" s="20">
        <v>34.07366</v>
      </c>
      <c r="E625" s="20">
        <v>292.1042</v>
      </c>
      <c r="F625" s="17">
        <f t="shared" si="39"/>
        <v>0.116648990326055</v>
      </c>
      <c r="G625" s="20">
        <v>155.91281</v>
      </c>
      <c r="H625" s="20">
        <v>221.16904</v>
      </c>
      <c r="I625" s="28">
        <v>0.704948622103709</v>
      </c>
      <c r="J625" s="29">
        <v>38.92658</v>
      </c>
      <c r="K625" s="28">
        <v>0.176003748083366</v>
      </c>
      <c r="L625" s="20">
        <v>0.51627</v>
      </c>
      <c r="M625" s="28">
        <v>0.00233427788988911</v>
      </c>
      <c r="N625" s="30">
        <v>1292</v>
      </c>
      <c r="O625" s="31">
        <v>1987</v>
      </c>
      <c r="P625" s="44">
        <v>0</v>
      </c>
      <c r="Q625" s="44">
        <v>0</v>
      </c>
      <c r="R625" s="44">
        <v>0</v>
      </c>
      <c r="S625" s="44">
        <v>0</v>
      </c>
      <c r="T625" s="44">
        <v>0</v>
      </c>
      <c r="U625" s="44">
        <v>0</v>
      </c>
      <c r="V625" s="44">
        <v>0</v>
      </c>
      <c r="W625" s="44">
        <v>0</v>
      </c>
      <c r="X625" s="44">
        <v>0</v>
      </c>
      <c r="Y625" s="37">
        <v>0</v>
      </c>
      <c r="Z625" s="44">
        <v>0</v>
      </c>
      <c r="AA625" s="44">
        <v>0</v>
      </c>
      <c r="AB625" s="44">
        <v>0</v>
      </c>
      <c r="AC625" s="44">
        <v>0</v>
      </c>
      <c r="AD625" s="44">
        <v>0</v>
      </c>
      <c r="AE625" s="44">
        <f t="shared" si="41"/>
        <v>0</v>
      </c>
      <c r="AF625" s="44">
        <v>30111</v>
      </c>
      <c r="AG625" s="45">
        <f t="shared" si="42"/>
        <v>0</v>
      </c>
      <c r="AH625" s="1">
        <v>1</v>
      </c>
      <c r="AI625" s="1">
        <v>5</v>
      </c>
      <c r="AJ625" s="1">
        <v>1</v>
      </c>
      <c r="AK625" s="1"/>
      <c r="AL625" s="1"/>
    </row>
    <row r="626" s="2" customFormat="1" spans="1:38">
      <c r="A626" s="2" t="str">
        <f>VLOOKUP(B626,'[1]2. ISIC行业分类'!$A$2:$B$102,2,FALSE)</f>
        <v>C1410</v>
      </c>
      <c r="B626" s="18" t="s">
        <v>198</v>
      </c>
      <c r="C626" s="19">
        <v>2017</v>
      </c>
      <c r="D626" s="20">
        <v>0</v>
      </c>
      <c r="E626" s="20">
        <v>390.5701</v>
      </c>
      <c r="F626" s="17">
        <f t="shared" si="39"/>
        <v>0</v>
      </c>
      <c r="G626" s="20">
        <v>120.1414</v>
      </c>
      <c r="H626" s="20">
        <v>320.80529</v>
      </c>
      <c r="I626" s="28">
        <v>0.374499435467539</v>
      </c>
      <c r="J626" s="29">
        <v>129.95198</v>
      </c>
      <c r="K626" s="28">
        <v>0.405080539663171</v>
      </c>
      <c r="L626" s="20">
        <v>15.73223</v>
      </c>
      <c r="M626" s="28">
        <v>0.0490398085393168</v>
      </c>
      <c r="N626" s="30">
        <v>2936</v>
      </c>
      <c r="O626" s="31" t="s">
        <v>199</v>
      </c>
      <c r="P626" s="44">
        <v>0</v>
      </c>
      <c r="Q626" s="44">
        <v>0</v>
      </c>
      <c r="R626" s="44">
        <v>0</v>
      </c>
      <c r="S626" s="44">
        <v>0</v>
      </c>
      <c r="T626" s="44">
        <v>0</v>
      </c>
      <c r="U626" s="44">
        <v>0</v>
      </c>
      <c r="V626" s="44">
        <v>0</v>
      </c>
      <c r="W626" s="44">
        <v>0</v>
      </c>
      <c r="X626" s="44">
        <v>0</v>
      </c>
      <c r="Y626" s="37">
        <v>0</v>
      </c>
      <c r="Z626" s="44">
        <v>0</v>
      </c>
      <c r="AA626" s="44">
        <v>0</v>
      </c>
      <c r="AB626" s="44">
        <v>0</v>
      </c>
      <c r="AC626" s="44">
        <v>0</v>
      </c>
      <c r="AD626" s="44">
        <v>0</v>
      </c>
      <c r="AE626" s="44">
        <f t="shared" si="41"/>
        <v>0</v>
      </c>
      <c r="AF626" s="44">
        <v>27812</v>
      </c>
      <c r="AG626" s="45">
        <f t="shared" si="42"/>
        <v>0</v>
      </c>
      <c r="AH626" s="1">
        <v>1</v>
      </c>
      <c r="AI626" s="1">
        <v>18</v>
      </c>
      <c r="AJ626" s="1">
        <v>4</v>
      </c>
      <c r="AK626" s="1"/>
      <c r="AL626" s="1"/>
    </row>
    <row r="627" s="2" customFormat="1" spans="1:37">
      <c r="A627" s="2" t="str">
        <f>VLOOKUP(B627,'[1]2. ISIC行业分类'!$A$2:$B$102,2,FALSE)</f>
        <v>C1410</v>
      </c>
      <c r="B627" s="18" t="s">
        <v>198</v>
      </c>
      <c r="C627" s="19">
        <v>2018</v>
      </c>
      <c r="D627" s="20">
        <v>0</v>
      </c>
      <c r="E627" s="20">
        <v>416.15005</v>
      </c>
      <c r="F627" s="17">
        <f t="shared" si="39"/>
        <v>0</v>
      </c>
      <c r="G627" s="20">
        <v>132.42103</v>
      </c>
      <c r="H627" s="20">
        <v>321.76816</v>
      </c>
      <c r="I627" s="28">
        <v>0.411541744838893</v>
      </c>
      <c r="J627" s="29">
        <v>125.93398</v>
      </c>
      <c r="K627" s="28">
        <v>0.391381111170229</v>
      </c>
      <c r="L627" s="20">
        <v>16.47831</v>
      </c>
      <c r="M627" s="28">
        <v>0.0512117482351268</v>
      </c>
      <c r="N627" s="30">
        <v>2997</v>
      </c>
      <c r="O627" s="31" t="s">
        <v>199</v>
      </c>
      <c r="P627" s="44">
        <v>0</v>
      </c>
      <c r="Q627" s="44">
        <v>0</v>
      </c>
      <c r="R627" s="44">
        <v>0</v>
      </c>
      <c r="S627" s="44">
        <v>0</v>
      </c>
      <c r="T627" s="44">
        <v>0</v>
      </c>
      <c r="U627" s="44">
        <v>0</v>
      </c>
      <c r="V627" s="44">
        <v>0</v>
      </c>
      <c r="W627" s="44">
        <v>0</v>
      </c>
      <c r="X627" s="44">
        <v>0</v>
      </c>
      <c r="Y627" s="37">
        <v>0</v>
      </c>
      <c r="Z627" s="44">
        <v>0</v>
      </c>
      <c r="AA627" s="44">
        <v>0</v>
      </c>
      <c r="AB627" s="44">
        <v>0</v>
      </c>
      <c r="AC627" s="44">
        <v>0</v>
      </c>
      <c r="AD627" s="44">
        <v>0</v>
      </c>
      <c r="AE627" s="44">
        <f t="shared" si="41"/>
        <v>0</v>
      </c>
      <c r="AF627" s="44">
        <v>28579</v>
      </c>
      <c r="AG627" s="45">
        <f t="shared" si="42"/>
        <v>0</v>
      </c>
      <c r="AH627" s="1">
        <v>0</v>
      </c>
      <c r="AI627" s="1">
        <v>0</v>
      </c>
      <c r="AJ627" s="1">
        <v>0</v>
      </c>
      <c r="AK627" s="1"/>
    </row>
    <row r="628" s="2" customFormat="1" spans="1:37">
      <c r="A628" s="2" t="str">
        <f>VLOOKUP(B628,'[1]2. ISIC行业分类'!$A$2:$B$102,2,FALSE)</f>
        <v>C1410</v>
      </c>
      <c r="B628" s="18" t="s">
        <v>198</v>
      </c>
      <c r="C628" s="19">
        <v>2019</v>
      </c>
      <c r="D628" s="20">
        <v>0</v>
      </c>
      <c r="E628" s="20">
        <v>384.14336</v>
      </c>
      <c r="F628" s="17">
        <f t="shared" si="39"/>
        <v>0</v>
      </c>
      <c r="G628" s="20">
        <v>198.67629</v>
      </c>
      <c r="H628" s="20">
        <v>387.12222</v>
      </c>
      <c r="I628" s="28">
        <v>0.513213346420673</v>
      </c>
      <c r="J628" s="29">
        <v>239.34062</v>
      </c>
      <c r="K628" s="28">
        <v>0.618255960611096</v>
      </c>
      <c r="L628" s="20">
        <v>16.17673</v>
      </c>
      <c r="M628" s="28">
        <v>0.0417871389557541</v>
      </c>
      <c r="N628" s="30">
        <v>2934</v>
      </c>
      <c r="O628" s="31" t="s">
        <v>199</v>
      </c>
      <c r="P628" s="44">
        <v>0</v>
      </c>
      <c r="Q628" s="44">
        <v>0</v>
      </c>
      <c r="R628" s="44">
        <v>0</v>
      </c>
      <c r="S628" s="44">
        <v>0</v>
      </c>
      <c r="T628" s="44">
        <v>0</v>
      </c>
      <c r="U628" s="44">
        <v>0</v>
      </c>
      <c r="V628" s="44">
        <v>0</v>
      </c>
      <c r="W628" s="44">
        <v>0</v>
      </c>
      <c r="X628" s="44">
        <v>0</v>
      </c>
      <c r="Y628" s="37">
        <v>0</v>
      </c>
      <c r="Z628" s="44">
        <v>0</v>
      </c>
      <c r="AA628" s="44">
        <v>0</v>
      </c>
      <c r="AB628" s="44">
        <v>0</v>
      </c>
      <c r="AC628" s="44">
        <v>0</v>
      </c>
      <c r="AD628" s="44">
        <v>0</v>
      </c>
      <c r="AE628" s="44">
        <f t="shared" si="41"/>
        <v>0</v>
      </c>
      <c r="AF628" s="44">
        <v>33211</v>
      </c>
      <c r="AG628" s="45">
        <f t="shared" si="42"/>
        <v>0</v>
      </c>
      <c r="AH628" s="1">
        <v>2</v>
      </c>
      <c r="AI628" s="1">
        <v>9</v>
      </c>
      <c r="AJ628" s="1">
        <v>1</v>
      </c>
      <c r="AK628" s="1"/>
    </row>
    <row r="629" s="2" customFormat="1" spans="1:37">
      <c r="A629" s="2" t="str">
        <f>VLOOKUP(B629,'[1]2. ISIC行业分类'!$A$2:$B$102,2,FALSE)</f>
        <v>C1410</v>
      </c>
      <c r="B629" s="18" t="s">
        <v>198</v>
      </c>
      <c r="C629" s="19">
        <v>2020</v>
      </c>
      <c r="D629" s="20">
        <v>0</v>
      </c>
      <c r="E629" s="20">
        <v>281.37553</v>
      </c>
      <c r="F629" s="17">
        <f t="shared" si="39"/>
        <v>0</v>
      </c>
      <c r="G629" s="20">
        <v>170.30913</v>
      </c>
      <c r="H629" s="20">
        <v>356.82509</v>
      </c>
      <c r="I629" s="28">
        <v>0.477290232029368</v>
      </c>
      <c r="J629" s="29">
        <v>260.67025</v>
      </c>
      <c r="K629" s="28">
        <v>0.73052668465662</v>
      </c>
      <c r="L629" s="20">
        <v>-1.61402</v>
      </c>
      <c r="M629" s="28">
        <v>-0.00452328057984936</v>
      </c>
      <c r="N629" s="30">
        <v>2775</v>
      </c>
      <c r="O629" s="31" t="s">
        <v>199</v>
      </c>
      <c r="P629" s="44">
        <v>0</v>
      </c>
      <c r="Q629" s="44">
        <v>0</v>
      </c>
      <c r="R629" s="44">
        <v>0</v>
      </c>
      <c r="S629" s="44">
        <v>0</v>
      </c>
      <c r="T629" s="44">
        <v>0</v>
      </c>
      <c r="U629" s="44">
        <v>0</v>
      </c>
      <c r="V629" s="44">
        <v>0</v>
      </c>
      <c r="W629" s="44">
        <v>0</v>
      </c>
      <c r="X629" s="44">
        <v>0</v>
      </c>
      <c r="Y629" s="37">
        <v>0</v>
      </c>
      <c r="Z629" s="44">
        <v>0</v>
      </c>
      <c r="AA629" s="44">
        <v>0</v>
      </c>
      <c r="AB629" s="44">
        <v>0</v>
      </c>
      <c r="AC629" s="44">
        <v>0</v>
      </c>
      <c r="AD629" s="44">
        <v>0</v>
      </c>
      <c r="AE629" s="44">
        <f t="shared" si="41"/>
        <v>0</v>
      </c>
      <c r="AF629" s="44">
        <v>26769</v>
      </c>
      <c r="AG629" s="45">
        <f t="shared" si="42"/>
        <v>0</v>
      </c>
      <c r="AH629" s="1">
        <v>0</v>
      </c>
      <c r="AI629" s="1">
        <v>0</v>
      </c>
      <c r="AJ629" s="1">
        <v>0</v>
      </c>
      <c r="AK629" s="1"/>
    </row>
    <row r="630" s="2" customFormat="1" spans="1:37">
      <c r="A630" s="2" t="str">
        <f>VLOOKUP(B630,'[1]2. ISIC行业分类'!$A$2:$B$102,2,FALSE)</f>
        <v>C1410</v>
      </c>
      <c r="B630" s="18" t="s">
        <v>198</v>
      </c>
      <c r="C630" s="19">
        <v>2021</v>
      </c>
      <c r="D630" s="20">
        <v>0</v>
      </c>
      <c r="E630" s="20">
        <v>327.38232</v>
      </c>
      <c r="F630" s="17">
        <f t="shared" si="39"/>
        <v>0</v>
      </c>
      <c r="G630" s="20">
        <v>193.17471</v>
      </c>
      <c r="H630" s="20">
        <v>383.56973</v>
      </c>
      <c r="I630" s="28">
        <v>0.50362344807553</v>
      </c>
      <c r="J630" s="29">
        <v>231.51786</v>
      </c>
      <c r="K630" s="28">
        <v>0.603587410299556</v>
      </c>
      <c r="L630" s="20">
        <v>22.22771</v>
      </c>
      <c r="M630" s="28">
        <v>0.0579495936762267</v>
      </c>
      <c r="N630" s="30">
        <v>2407</v>
      </c>
      <c r="O630" s="31" t="s">
        <v>199</v>
      </c>
      <c r="P630" s="44">
        <v>0</v>
      </c>
      <c r="Q630" s="44">
        <v>0</v>
      </c>
      <c r="R630" s="44">
        <v>0</v>
      </c>
      <c r="S630" s="44">
        <v>0</v>
      </c>
      <c r="T630" s="44">
        <v>0</v>
      </c>
      <c r="U630" s="44">
        <v>0</v>
      </c>
      <c r="V630" s="44">
        <v>0</v>
      </c>
      <c r="W630" s="44">
        <v>0</v>
      </c>
      <c r="X630" s="44">
        <v>0</v>
      </c>
      <c r="Y630" s="37">
        <v>0</v>
      </c>
      <c r="Z630" s="44">
        <v>0</v>
      </c>
      <c r="AA630" s="44">
        <v>0</v>
      </c>
      <c r="AB630" s="44">
        <v>0</v>
      </c>
      <c r="AC630" s="44">
        <v>0</v>
      </c>
      <c r="AD630" s="44">
        <v>0</v>
      </c>
      <c r="AE630" s="44">
        <f t="shared" si="41"/>
        <v>0</v>
      </c>
      <c r="AF630" s="44">
        <v>25930</v>
      </c>
      <c r="AG630" s="45">
        <f t="shared" si="42"/>
        <v>0</v>
      </c>
      <c r="AH630" s="1">
        <v>0</v>
      </c>
      <c r="AI630" s="1">
        <v>0</v>
      </c>
      <c r="AJ630" s="1">
        <v>0</v>
      </c>
      <c r="AK630" s="1"/>
    </row>
    <row r="631" s="2" customFormat="1" spans="1:37">
      <c r="A631" s="2" t="str">
        <f>VLOOKUP(B631,'[1]2. ISIC行业分类'!$A$2:$B$102,2,FALSE)</f>
        <v>C1410</v>
      </c>
      <c r="B631" s="18" t="s">
        <v>198</v>
      </c>
      <c r="C631" s="19">
        <v>2022</v>
      </c>
      <c r="D631" s="20">
        <v>0</v>
      </c>
      <c r="E631" s="20">
        <v>345.06256</v>
      </c>
      <c r="F631" s="17">
        <f t="shared" si="39"/>
        <v>0</v>
      </c>
      <c r="G631" s="20">
        <v>146.11591</v>
      </c>
      <c r="H631" s="20">
        <v>361.2824</v>
      </c>
      <c r="I631" s="28">
        <v>0.404436833900572</v>
      </c>
      <c r="J631" s="29">
        <v>235.27853</v>
      </c>
      <c r="K631" s="28">
        <v>0.651231640400972</v>
      </c>
      <c r="L631" s="20">
        <v>40.05753</v>
      </c>
      <c r="M631" s="28">
        <v>0.110875951886945</v>
      </c>
      <c r="N631" s="30">
        <v>2549</v>
      </c>
      <c r="O631" s="31" t="s">
        <v>199</v>
      </c>
      <c r="P631" s="44">
        <v>0</v>
      </c>
      <c r="Q631" s="44">
        <v>0</v>
      </c>
      <c r="R631" s="44">
        <v>0</v>
      </c>
      <c r="S631" s="44">
        <v>0</v>
      </c>
      <c r="T631" s="44">
        <v>0</v>
      </c>
      <c r="U631" s="44">
        <v>0</v>
      </c>
      <c r="V631" s="44">
        <v>0</v>
      </c>
      <c r="W631" s="44">
        <v>0</v>
      </c>
      <c r="X631" s="44">
        <v>0</v>
      </c>
      <c r="Y631" s="37">
        <v>0</v>
      </c>
      <c r="Z631" s="44">
        <v>0</v>
      </c>
      <c r="AA631" s="44">
        <v>0</v>
      </c>
      <c r="AB631" s="44">
        <v>0</v>
      </c>
      <c r="AC631" s="44">
        <v>0</v>
      </c>
      <c r="AD631" s="44">
        <v>0</v>
      </c>
      <c r="AE631" s="44">
        <f t="shared" si="41"/>
        <v>0</v>
      </c>
      <c r="AF631" s="44">
        <v>28206</v>
      </c>
      <c r="AG631" s="45">
        <f t="shared" si="42"/>
        <v>0</v>
      </c>
      <c r="AH631" s="1">
        <v>1</v>
      </c>
      <c r="AI631" s="1">
        <v>22</v>
      </c>
      <c r="AJ631" s="1">
        <v>7</v>
      </c>
      <c r="AK631" s="1"/>
    </row>
    <row r="632" s="2" customFormat="1" spans="1:37">
      <c r="A632" s="2" t="str">
        <f>VLOOKUP(B632,'[1]2. ISIC行业分类'!$A$2:$B$102,2,FALSE)</f>
        <v>C2100</v>
      </c>
      <c r="B632" s="18" t="s">
        <v>200</v>
      </c>
      <c r="C632" s="19">
        <v>2014</v>
      </c>
      <c r="D632" s="20">
        <v>23.2597</v>
      </c>
      <c r="E632" s="20">
        <v>96.4038</v>
      </c>
      <c r="F632" s="17">
        <f t="shared" si="39"/>
        <v>0.241273684232364</v>
      </c>
      <c r="G632" s="20">
        <v>88.76354</v>
      </c>
      <c r="H632" s="20">
        <v>273.09932</v>
      </c>
      <c r="I632" s="28">
        <v>0.325022925725337</v>
      </c>
      <c r="J632" s="29">
        <v>49.51885</v>
      </c>
      <c r="K632" s="28">
        <v>0.181321762353711</v>
      </c>
      <c r="L632" s="20">
        <v>88.75023</v>
      </c>
      <c r="M632" s="28">
        <v>0.324974188877512</v>
      </c>
      <c r="N632" s="30">
        <v>178</v>
      </c>
      <c r="O632" s="31" t="s">
        <v>129</v>
      </c>
      <c r="P632" s="44">
        <v>0</v>
      </c>
      <c r="Q632" s="44">
        <v>0</v>
      </c>
      <c r="R632" s="44">
        <v>0</v>
      </c>
      <c r="S632" s="44">
        <v>0</v>
      </c>
      <c r="T632" s="44">
        <v>0</v>
      </c>
      <c r="U632" s="44">
        <v>0</v>
      </c>
      <c r="V632" s="44">
        <v>0</v>
      </c>
      <c r="W632" s="44">
        <v>0</v>
      </c>
      <c r="X632" s="44">
        <v>0</v>
      </c>
      <c r="Y632" s="37">
        <v>0</v>
      </c>
      <c r="Z632" s="44">
        <v>0</v>
      </c>
      <c r="AA632" s="44">
        <v>0</v>
      </c>
      <c r="AB632" s="44">
        <v>0</v>
      </c>
      <c r="AC632" s="44">
        <v>0</v>
      </c>
      <c r="AD632" s="44">
        <v>0</v>
      </c>
      <c r="AE632" s="44">
        <f t="shared" si="41"/>
        <v>0</v>
      </c>
      <c r="AF632" s="44">
        <v>35530</v>
      </c>
      <c r="AG632" s="45">
        <f t="shared" si="42"/>
        <v>0</v>
      </c>
      <c r="AH632" s="1">
        <v>3</v>
      </c>
      <c r="AI632" s="1">
        <v>46</v>
      </c>
      <c r="AJ632" s="1">
        <v>57</v>
      </c>
      <c r="AK632" s="1"/>
    </row>
    <row r="633" s="2" customFormat="1" spans="1:37">
      <c r="A633" s="2" t="str">
        <f>VLOOKUP(B633,'[1]2. ISIC行业分类'!$A$2:$B$102,2,FALSE)</f>
        <v>C2100</v>
      </c>
      <c r="B633" s="18" t="s">
        <v>200</v>
      </c>
      <c r="C633" s="19">
        <v>2015</v>
      </c>
      <c r="D633" s="20">
        <v>25.06978</v>
      </c>
      <c r="E633" s="20">
        <v>65.84741</v>
      </c>
      <c r="F633" s="17">
        <f t="shared" si="39"/>
        <v>0.380725377049758</v>
      </c>
      <c r="G633" s="20">
        <v>37.2479</v>
      </c>
      <c r="H633" s="20">
        <v>475.63725</v>
      </c>
      <c r="I633" s="28">
        <v>0.0783115704247302</v>
      </c>
      <c r="J633" s="29">
        <v>46.37307</v>
      </c>
      <c r="K633" s="28">
        <v>0.0974967162475185</v>
      </c>
      <c r="L633" s="20">
        <v>269.55417</v>
      </c>
      <c r="M633" s="28">
        <v>0.566722160638175</v>
      </c>
      <c r="N633" s="30">
        <v>183</v>
      </c>
      <c r="O633" s="31" t="s">
        <v>129</v>
      </c>
      <c r="P633" s="44">
        <v>0</v>
      </c>
      <c r="Q633" s="44">
        <v>0</v>
      </c>
      <c r="R633" s="44">
        <v>0</v>
      </c>
      <c r="S633" s="44">
        <v>0</v>
      </c>
      <c r="T633" s="44">
        <v>0</v>
      </c>
      <c r="U633" s="44">
        <v>0</v>
      </c>
      <c r="V633" s="44">
        <v>0</v>
      </c>
      <c r="W633" s="44">
        <v>0</v>
      </c>
      <c r="X633" s="44">
        <v>0</v>
      </c>
      <c r="Y633" s="37">
        <v>0</v>
      </c>
      <c r="Z633" s="44">
        <v>0</v>
      </c>
      <c r="AA633" s="44">
        <v>0</v>
      </c>
      <c r="AB633" s="44">
        <v>0</v>
      </c>
      <c r="AC633" s="44">
        <v>0</v>
      </c>
      <c r="AD633" s="44">
        <v>0</v>
      </c>
      <c r="AE633" s="44">
        <f t="shared" si="41"/>
        <v>0</v>
      </c>
      <c r="AF633" s="44">
        <v>32668</v>
      </c>
      <c r="AG633" s="45">
        <f t="shared" si="42"/>
        <v>0</v>
      </c>
      <c r="AH633" s="1">
        <v>4</v>
      </c>
      <c r="AI633" s="1">
        <v>102</v>
      </c>
      <c r="AJ633" s="1">
        <v>40</v>
      </c>
      <c r="AK633" s="1"/>
    </row>
    <row r="634" s="2" customFormat="1" spans="1:37">
      <c r="A634" s="2" t="str">
        <f>VLOOKUP(B634,'[1]2. ISIC行业分类'!$A$2:$B$102,2,FALSE)</f>
        <v>C2100</v>
      </c>
      <c r="B634" s="18" t="s">
        <v>200</v>
      </c>
      <c r="C634" s="19">
        <v>2016</v>
      </c>
      <c r="D634" s="20">
        <v>7.90352</v>
      </c>
      <c r="E634" s="20">
        <v>72.19888</v>
      </c>
      <c r="F634" s="17">
        <f t="shared" si="39"/>
        <v>0.109468734141028</v>
      </c>
      <c r="G634" s="20">
        <v>29.46902</v>
      </c>
      <c r="H634" s="20">
        <v>468.14526</v>
      </c>
      <c r="I634" s="28">
        <v>0.0629484532215492</v>
      </c>
      <c r="J634" s="29">
        <v>46.83733</v>
      </c>
      <c r="K634" s="28">
        <v>0.100048711376465</v>
      </c>
      <c r="L634" s="20">
        <v>20.41592</v>
      </c>
      <c r="M634" s="28">
        <v>0.0436102247409276</v>
      </c>
      <c r="N634" s="30">
        <v>217</v>
      </c>
      <c r="O634" s="31" t="s">
        <v>129</v>
      </c>
      <c r="P634" s="44">
        <v>0</v>
      </c>
      <c r="Q634" s="44">
        <v>0</v>
      </c>
      <c r="R634" s="44">
        <v>0</v>
      </c>
      <c r="S634" s="44">
        <v>0</v>
      </c>
      <c r="T634" s="44">
        <v>0</v>
      </c>
      <c r="U634" s="44">
        <v>0</v>
      </c>
      <c r="V634" s="44">
        <v>0</v>
      </c>
      <c r="W634" s="44">
        <v>0</v>
      </c>
      <c r="X634" s="44">
        <v>0</v>
      </c>
      <c r="Y634" s="37">
        <v>0</v>
      </c>
      <c r="Z634" s="44">
        <v>0</v>
      </c>
      <c r="AA634" s="44">
        <v>0</v>
      </c>
      <c r="AB634" s="44">
        <v>0</v>
      </c>
      <c r="AC634" s="44">
        <v>0</v>
      </c>
      <c r="AD634" s="44">
        <v>0</v>
      </c>
      <c r="AE634" s="44">
        <f t="shared" si="41"/>
        <v>0</v>
      </c>
      <c r="AF634" s="44">
        <v>44305</v>
      </c>
      <c r="AG634" s="45">
        <f t="shared" si="42"/>
        <v>0</v>
      </c>
      <c r="AH634" s="1">
        <v>0</v>
      </c>
      <c r="AI634" s="1">
        <v>0</v>
      </c>
      <c r="AJ634" s="1">
        <v>0</v>
      </c>
      <c r="AK634" s="1"/>
    </row>
    <row r="635" s="2" customFormat="1" spans="1:37">
      <c r="A635" s="2" t="str">
        <f>VLOOKUP(B635,'[1]2. ISIC行业分类'!$A$2:$B$102,2,FALSE)</f>
        <v>C2100</v>
      </c>
      <c r="B635" s="18" t="s">
        <v>200</v>
      </c>
      <c r="C635" s="19">
        <v>2017</v>
      </c>
      <c r="D635" s="20">
        <v>10.86575</v>
      </c>
      <c r="E635" s="20">
        <v>81.30644</v>
      </c>
      <c r="F635" s="17">
        <f t="shared" si="39"/>
        <v>0.133639475544619</v>
      </c>
      <c r="G635" s="20">
        <v>33.44981</v>
      </c>
      <c r="H635" s="20">
        <v>597.95149</v>
      </c>
      <c r="I635" s="28">
        <v>0.0559406750537573</v>
      </c>
      <c r="J635" s="29">
        <v>67.84222</v>
      </c>
      <c r="K635" s="28">
        <v>0.113457732164862</v>
      </c>
      <c r="L635" s="20">
        <v>-38.96134</v>
      </c>
      <c r="M635" s="28">
        <v>-0.0651580281203079</v>
      </c>
      <c r="N635" s="30">
        <v>301</v>
      </c>
      <c r="O635" s="31" t="s">
        <v>129</v>
      </c>
      <c r="P635" s="44">
        <v>0</v>
      </c>
      <c r="Q635" s="44">
        <v>0</v>
      </c>
      <c r="R635" s="44">
        <v>0</v>
      </c>
      <c r="S635" s="44">
        <v>0</v>
      </c>
      <c r="T635" s="44">
        <v>0</v>
      </c>
      <c r="U635" s="44">
        <v>0</v>
      </c>
      <c r="V635" s="44">
        <v>0</v>
      </c>
      <c r="W635" s="44">
        <v>0</v>
      </c>
      <c r="X635" s="44">
        <v>0</v>
      </c>
      <c r="Y635" s="37">
        <v>0</v>
      </c>
      <c r="Z635" s="44">
        <v>0</v>
      </c>
      <c r="AA635" s="44">
        <v>0</v>
      </c>
      <c r="AB635" s="44">
        <v>0</v>
      </c>
      <c r="AC635" s="44">
        <v>0</v>
      </c>
      <c r="AD635" s="44">
        <v>0</v>
      </c>
      <c r="AE635" s="44">
        <f t="shared" si="41"/>
        <v>0</v>
      </c>
      <c r="AF635" s="44">
        <v>52753</v>
      </c>
      <c r="AG635" s="45">
        <f t="shared" si="42"/>
        <v>0</v>
      </c>
      <c r="AH635" s="1">
        <v>0</v>
      </c>
      <c r="AI635" s="1">
        <v>0</v>
      </c>
      <c r="AJ635" s="1">
        <v>0</v>
      </c>
      <c r="AK635" s="1"/>
    </row>
    <row r="636" s="2" customFormat="1" spans="1:37">
      <c r="A636" s="2" t="str">
        <f>VLOOKUP(B636,'[1]2. ISIC行业分类'!$A$2:$B$102,2,FALSE)</f>
        <v>C2100</v>
      </c>
      <c r="B636" s="18" t="s">
        <v>200</v>
      </c>
      <c r="C636" s="19">
        <v>2018</v>
      </c>
      <c r="D636" s="20">
        <v>11.93955</v>
      </c>
      <c r="E636" s="20">
        <v>75.12823</v>
      </c>
      <c r="F636" s="17">
        <f t="shared" si="39"/>
        <v>0.158922285271462</v>
      </c>
      <c r="G636" s="20">
        <v>207.04374</v>
      </c>
      <c r="H636" s="20">
        <v>716.37967</v>
      </c>
      <c r="I636" s="28">
        <v>0.289013980533535</v>
      </c>
      <c r="J636" s="29">
        <v>67.0632</v>
      </c>
      <c r="K636" s="28">
        <v>0.0936140468642836</v>
      </c>
      <c r="L636" s="20">
        <v>-20.61713</v>
      </c>
      <c r="M636" s="28">
        <v>-0.0287796134694889</v>
      </c>
      <c r="N636" s="30">
        <v>306</v>
      </c>
      <c r="O636" s="31" t="s">
        <v>129</v>
      </c>
      <c r="P636" s="44">
        <v>1</v>
      </c>
      <c r="Q636" s="44">
        <v>1</v>
      </c>
      <c r="R636" s="44">
        <v>0</v>
      </c>
      <c r="S636" s="44">
        <v>0</v>
      </c>
      <c r="T636" s="44">
        <v>0</v>
      </c>
      <c r="U636" s="44">
        <v>0</v>
      </c>
      <c r="V636" s="44">
        <v>0</v>
      </c>
      <c r="W636" s="44">
        <v>0</v>
      </c>
      <c r="X636" s="44">
        <v>0</v>
      </c>
      <c r="Y636" s="37">
        <v>0</v>
      </c>
      <c r="Z636" s="44">
        <v>0</v>
      </c>
      <c r="AA636" s="44">
        <v>0</v>
      </c>
      <c r="AB636" s="44">
        <v>0</v>
      </c>
      <c r="AC636" s="44">
        <v>0</v>
      </c>
      <c r="AD636" s="44">
        <v>0</v>
      </c>
      <c r="AE636" s="44">
        <f t="shared" si="41"/>
        <v>4</v>
      </c>
      <c r="AF636" s="44">
        <v>51402</v>
      </c>
      <c r="AG636" s="45">
        <f t="shared" si="42"/>
        <v>7.78179837360414e-5</v>
      </c>
      <c r="AH636" s="1">
        <v>0</v>
      </c>
      <c r="AI636" s="1">
        <v>0</v>
      </c>
      <c r="AJ636" s="1">
        <v>0</v>
      </c>
      <c r="AK636" s="1"/>
    </row>
    <row r="637" s="2" customFormat="1" spans="1:37">
      <c r="A637" s="2" t="str">
        <f>VLOOKUP(B637,'[1]2. ISIC行业分类'!$A$2:$B$102,2,FALSE)</f>
        <v>C2100</v>
      </c>
      <c r="B637" s="18" t="s">
        <v>200</v>
      </c>
      <c r="C637" s="19">
        <v>2019</v>
      </c>
      <c r="D637" s="20">
        <v>17.01268</v>
      </c>
      <c r="E637" s="20">
        <v>70.13242</v>
      </c>
      <c r="F637" s="17">
        <f t="shared" si="39"/>
        <v>0.242579394807708</v>
      </c>
      <c r="G637" s="20">
        <v>214.82101</v>
      </c>
      <c r="H637" s="20">
        <v>656.67153</v>
      </c>
      <c r="I637" s="28">
        <v>0.327136171108256</v>
      </c>
      <c r="J637" s="29">
        <v>72.19167</v>
      </c>
      <c r="K637" s="28">
        <v>0.109935739105364</v>
      </c>
      <c r="L637" s="20">
        <v>-27.39984</v>
      </c>
      <c r="M637" s="28">
        <v>-0.0417253356484025</v>
      </c>
      <c r="N637" s="30">
        <v>234</v>
      </c>
      <c r="O637" s="31" t="s">
        <v>129</v>
      </c>
      <c r="P637" s="44">
        <v>20</v>
      </c>
      <c r="Q637" s="44">
        <v>0</v>
      </c>
      <c r="R637" s="44">
        <v>0</v>
      </c>
      <c r="S637" s="44">
        <v>11</v>
      </c>
      <c r="T637" s="44">
        <v>0</v>
      </c>
      <c r="U637" s="44">
        <v>0</v>
      </c>
      <c r="V637" s="44">
        <v>0</v>
      </c>
      <c r="W637" s="44">
        <v>0</v>
      </c>
      <c r="X637" s="44">
        <v>0</v>
      </c>
      <c r="Y637" s="37">
        <v>0</v>
      </c>
      <c r="Z637" s="44">
        <v>0</v>
      </c>
      <c r="AA637" s="44">
        <v>0</v>
      </c>
      <c r="AB637" s="44">
        <v>0</v>
      </c>
      <c r="AC637" s="44">
        <v>0</v>
      </c>
      <c r="AD637" s="44">
        <v>0</v>
      </c>
      <c r="AE637" s="44">
        <f t="shared" si="41"/>
        <v>51</v>
      </c>
      <c r="AF637" s="44">
        <v>51829</v>
      </c>
      <c r="AG637" s="45">
        <f t="shared" si="42"/>
        <v>0.000984005093673426</v>
      </c>
      <c r="AH637" s="1">
        <v>1</v>
      </c>
      <c r="AI637" s="1">
        <v>69</v>
      </c>
      <c r="AJ637" s="1">
        <v>26</v>
      </c>
      <c r="AK637" s="1"/>
    </row>
    <row r="638" s="2" customFormat="1" spans="1:37">
      <c r="A638" s="2" t="str">
        <f>VLOOKUP(B638,'[1]2. ISIC行业分类'!$A$2:$B$102,2,FALSE)</f>
        <v>C1050</v>
      </c>
      <c r="B638" s="18" t="s">
        <v>201</v>
      </c>
      <c r="C638" s="19">
        <v>2019</v>
      </c>
      <c r="D638" s="20">
        <v>0</v>
      </c>
      <c r="E638" s="20">
        <v>3607.63973</v>
      </c>
      <c r="F638" s="17">
        <f t="shared" si="39"/>
        <v>0</v>
      </c>
      <c r="G638" s="20">
        <v>1116.80554</v>
      </c>
      <c r="H638" s="20">
        <v>2459.79721</v>
      </c>
      <c r="I638" s="28">
        <v>0.45402341927203</v>
      </c>
      <c r="J638" s="29">
        <v>2587.53317</v>
      </c>
      <c r="K638" s="28">
        <v>1.05192946779544</v>
      </c>
      <c r="L638" s="20">
        <v>201.3392</v>
      </c>
      <c r="M638" s="28">
        <v>0.0818519507142623</v>
      </c>
      <c r="N638" s="30">
        <v>7826</v>
      </c>
      <c r="O638" s="31" t="s">
        <v>145</v>
      </c>
      <c r="P638" s="44">
        <v>0</v>
      </c>
      <c r="Q638" s="44">
        <v>0</v>
      </c>
      <c r="R638" s="44">
        <v>0</v>
      </c>
      <c r="S638" s="44">
        <v>0</v>
      </c>
      <c r="T638" s="44">
        <v>0</v>
      </c>
      <c r="U638" s="44">
        <v>0</v>
      </c>
      <c r="V638" s="44">
        <v>0</v>
      </c>
      <c r="W638" s="44">
        <v>0</v>
      </c>
      <c r="X638" s="44">
        <v>0</v>
      </c>
      <c r="Y638" s="37">
        <v>0</v>
      </c>
      <c r="Z638" s="44">
        <v>0</v>
      </c>
      <c r="AA638" s="44">
        <v>0</v>
      </c>
      <c r="AB638" s="44">
        <v>0</v>
      </c>
      <c r="AC638" s="44">
        <v>0</v>
      </c>
      <c r="AD638" s="44">
        <v>0</v>
      </c>
      <c r="AE638" s="44">
        <f t="shared" si="41"/>
        <v>0</v>
      </c>
      <c r="AF638" s="44">
        <v>27622</v>
      </c>
      <c r="AG638" s="45">
        <f t="shared" si="42"/>
        <v>0</v>
      </c>
      <c r="AH638" s="1">
        <v>1</v>
      </c>
      <c r="AI638" s="1">
        <v>14</v>
      </c>
      <c r="AJ638" s="1">
        <v>0</v>
      </c>
      <c r="AK638" s="1"/>
    </row>
    <row r="639" s="2" customFormat="1" spans="1:36">
      <c r="A639" s="2" t="str">
        <f>VLOOKUP(B639,'[1]2. ISIC行业分类'!$A$2:$B$102,2,FALSE)</f>
        <v>C1050</v>
      </c>
      <c r="B639" s="18" t="s">
        <v>201</v>
      </c>
      <c r="C639" s="19">
        <v>2020</v>
      </c>
      <c r="D639" s="20">
        <v>0</v>
      </c>
      <c r="E639" s="20">
        <v>4188.82283</v>
      </c>
      <c r="F639" s="17">
        <f t="shared" si="39"/>
        <v>0</v>
      </c>
      <c r="G639" s="20">
        <v>1247.8768</v>
      </c>
      <c r="H639" s="20">
        <v>2641.56541</v>
      </c>
      <c r="I639" s="28">
        <v>0.472400492252054</v>
      </c>
      <c r="J639" s="29">
        <v>2952.35264</v>
      </c>
      <c r="K639" s="28">
        <v>1.11765267247348</v>
      </c>
      <c r="L639" s="20">
        <v>212.93247</v>
      </c>
      <c r="M639" s="28">
        <v>0.0806084411894234</v>
      </c>
      <c r="N639" s="30">
        <v>8664</v>
      </c>
      <c r="O639" s="31" t="s">
        <v>145</v>
      </c>
      <c r="P639" s="44">
        <v>0</v>
      </c>
      <c r="Q639" s="44">
        <v>0</v>
      </c>
      <c r="R639" s="44">
        <v>0</v>
      </c>
      <c r="S639" s="44">
        <v>0</v>
      </c>
      <c r="T639" s="44">
        <v>0</v>
      </c>
      <c r="U639" s="44">
        <v>0</v>
      </c>
      <c r="V639" s="44">
        <v>0</v>
      </c>
      <c r="W639" s="44">
        <v>0</v>
      </c>
      <c r="X639" s="44">
        <v>0</v>
      </c>
      <c r="Y639" s="37">
        <v>0</v>
      </c>
      <c r="Z639" s="44">
        <v>0</v>
      </c>
      <c r="AA639" s="44">
        <v>0</v>
      </c>
      <c r="AB639" s="44">
        <v>0</v>
      </c>
      <c r="AC639" s="44">
        <v>0</v>
      </c>
      <c r="AD639" s="44">
        <v>0</v>
      </c>
      <c r="AE639" s="44">
        <f t="shared" si="41"/>
        <v>0</v>
      </c>
      <c r="AF639" s="44">
        <v>32361</v>
      </c>
      <c r="AG639" s="45">
        <f t="shared" si="42"/>
        <v>0</v>
      </c>
      <c r="AH639" s="1">
        <v>0</v>
      </c>
      <c r="AI639" s="1">
        <v>0</v>
      </c>
      <c r="AJ639" s="1">
        <v>0</v>
      </c>
    </row>
    <row r="640" s="2" customFormat="1" spans="1:36">
      <c r="A640" s="2" t="str">
        <f>VLOOKUP(B640,'[1]2. ISIC行业分类'!$A$2:$B$102,2,FALSE)</f>
        <v>C1050</v>
      </c>
      <c r="B640" s="18" t="s">
        <v>201</v>
      </c>
      <c r="C640" s="19">
        <v>2021</v>
      </c>
      <c r="D640" s="20">
        <v>0</v>
      </c>
      <c r="E640" s="20">
        <v>4291.15631</v>
      </c>
      <c r="F640" s="17">
        <f t="shared" si="39"/>
        <v>0</v>
      </c>
      <c r="G640" s="20">
        <v>1414.7618</v>
      </c>
      <c r="H640" s="20">
        <v>2711.01348</v>
      </c>
      <c r="I640" s="28">
        <v>0.521857161698805</v>
      </c>
      <c r="J640" s="29">
        <v>2924.69258</v>
      </c>
      <c r="K640" s="28">
        <v>1.07881889986028</v>
      </c>
      <c r="L640" s="20">
        <v>237.75299</v>
      </c>
      <c r="M640" s="28">
        <v>0.0876989331679753</v>
      </c>
      <c r="N640" s="30">
        <v>9230</v>
      </c>
      <c r="O640" s="31" t="s">
        <v>145</v>
      </c>
      <c r="P640" s="44">
        <v>0</v>
      </c>
      <c r="Q640" s="44">
        <v>0</v>
      </c>
      <c r="R640" s="44">
        <v>0</v>
      </c>
      <c r="S640" s="44">
        <v>0</v>
      </c>
      <c r="T640" s="44">
        <v>0</v>
      </c>
      <c r="U640" s="44">
        <v>0</v>
      </c>
      <c r="V640" s="44">
        <v>0</v>
      </c>
      <c r="W640" s="44">
        <v>0</v>
      </c>
      <c r="X640" s="44">
        <v>0</v>
      </c>
      <c r="Y640" s="37">
        <v>0</v>
      </c>
      <c r="Z640" s="44">
        <v>0</v>
      </c>
      <c r="AA640" s="44">
        <v>0</v>
      </c>
      <c r="AB640" s="44">
        <v>0</v>
      </c>
      <c r="AC640" s="44">
        <v>0</v>
      </c>
      <c r="AD640" s="44">
        <v>0</v>
      </c>
      <c r="AE640" s="44">
        <f t="shared" si="41"/>
        <v>0</v>
      </c>
      <c r="AF640" s="44">
        <v>43788</v>
      </c>
      <c r="AG640" s="45">
        <f t="shared" si="42"/>
        <v>0</v>
      </c>
      <c r="AH640" s="1">
        <v>0</v>
      </c>
      <c r="AI640" s="1">
        <v>0</v>
      </c>
      <c r="AJ640" s="1">
        <v>0</v>
      </c>
    </row>
    <row r="641" s="2" customFormat="1" spans="1:36">
      <c r="A641" s="2" t="str">
        <f>VLOOKUP(B641,'[1]2. ISIC行业分类'!$A$2:$B$102,2,FALSE)</f>
        <v>C1050</v>
      </c>
      <c r="B641" s="18" t="s">
        <v>201</v>
      </c>
      <c r="C641" s="19">
        <v>2022</v>
      </c>
      <c r="D641" s="20">
        <v>0</v>
      </c>
      <c r="E641" s="20">
        <v>4574.61473</v>
      </c>
      <c r="F641" s="17">
        <f t="shared" si="39"/>
        <v>0</v>
      </c>
      <c r="G641" s="20">
        <v>1461.63821</v>
      </c>
      <c r="H641" s="20">
        <v>2850.14005</v>
      </c>
      <c r="I641" s="28">
        <v>0.512830311619248</v>
      </c>
      <c r="J641" s="29">
        <v>2999.93295</v>
      </c>
      <c r="K641" s="28">
        <v>1.05255632964422</v>
      </c>
      <c r="L641" s="20">
        <v>197.41746</v>
      </c>
      <c r="M641" s="28">
        <v>0.0692658804608567</v>
      </c>
      <c r="N641" s="30">
        <v>9368</v>
      </c>
      <c r="O641" s="31" t="s">
        <v>145</v>
      </c>
      <c r="P641" s="44">
        <v>0</v>
      </c>
      <c r="Q641" s="44">
        <v>0</v>
      </c>
      <c r="R641" s="44">
        <v>0</v>
      </c>
      <c r="S641" s="44">
        <v>0</v>
      </c>
      <c r="T641" s="44">
        <v>0</v>
      </c>
      <c r="U641" s="44">
        <v>0</v>
      </c>
      <c r="V641" s="44">
        <v>1</v>
      </c>
      <c r="W641" s="44">
        <v>0</v>
      </c>
      <c r="X641" s="44">
        <v>0</v>
      </c>
      <c r="Y641" s="37">
        <v>0</v>
      </c>
      <c r="Z641" s="44">
        <v>0</v>
      </c>
      <c r="AA641" s="44">
        <v>0</v>
      </c>
      <c r="AB641" s="44">
        <v>0</v>
      </c>
      <c r="AC641" s="44">
        <v>0</v>
      </c>
      <c r="AD641" s="44">
        <v>0</v>
      </c>
      <c r="AE641" s="44">
        <f t="shared" si="41"/>
        <v>2</v>
      </c>
      <c r="AF641" s="44">
        <v>47476</v>
      </c>
      <c r="AG641" s="45">
        <f t="shared" si="42"/>
        <v>4.21265481506445e-5</v>
      </c>
      <c r="AH641" s="1">
        <v>2</v>
      </c>
      <c r="AI641" s="1">
        <v>14</v>
      </c>
      <c r="AJ641" s="1">
        <v>0</v>
      </c>
    </row>
    <row r="642" s="2" customFormat="1" spans="1:36">
      <c r="A642" s="2" t="str">
        <f>VLOOKUP(B642,'[1]2. ISIC行业分类'!$A$2:$B$102,2,FALSE)</f>
        <v>C2100</v>
      </c>
      <c r="B642" s="18" t="s">
        <v>202</v>
      </c>
      <c r="C642" s="19">
        <v>2014</v>
      </c>
      <c r="D642" s="20">
        <v>0</v>
      </c>
      <c r="E642" s="20">
        <v>10.81612</v>
      </c>
      <c r="F642" s="17">
        <f t="shared" si="39"/>
        <v>0</v>
      </c>
      <c r="G642" s="20">
        <v>37.86935</v>
      </c>
      <c r="H642" s="20">
        <v>214.03278</v>
      </c>
      <c r="I642" s="28">
        <v>0.176932477352301</v>
      </c>
      <c r="J642" s="29">
        <v>27.20303</v>
      </c>
      <c r="K642" s="28">
        <v>0.127097494131506</v>
      </c>
      <c r="L642" s="20">
        <v>-21.49563</v>
      </c>
      <c r="M642" s="28">
        <v>-0.100431485307998</v>
      </c>
      <c r="N642" s="30">
        <v>144</v>
      </c>
      <c r="O642" s="31" t="s">
        <v>203</v>
      </c>
      <c r="AH642" s="1">
        <v>3</v>
      </c>
      <c r="AI642" s="1">
        <v>195</v>
      </c>
      <c r="AJ642" s="1">
        <v>150</v>
      </c>
    </row>
    <row r="643" s="2" customFormat="1" spans="1:36">
      <c r="A643" s="2" t="str">
        <f>VLOOKUP(B643,'[1]2. ISIC行业分类'!$A$2:$B$102,2,FALSE)</f>
        <v>C2100</v>
      </c>
      <c r="B643" s="18" t="s">
        <v>202</v>
      </c>
      <c r="C643" s="19">
        <v>2015</v>
      </c>
      <c r="D643" s="20">
        <v>0</v>
      </c>
      <c r="E643" s="20">
        <v>13.34745</v>
      </c>
      <c r="F643" s="17">
        <f t="shared" si="39"/>
        <v>0</v>
      </c>
      <c r="G643" s="20">
        <v>28.78617</v>
      </c>
      <c r="H643" s="20">
        <v>231.95593</v>
      </c>
      <c r="I643" s="28">
        <v>0.124101892975963</v>
      </c>
      <c r="J643" s="29">
        <v>24.55479</v>
      </c>
      <c r="K643" s="28">
        <v>0.105859720853009</v>
      </c>
      <c r="L643" s="20">
        <v>-31.85336</v>
      </c>
      <c r="M643" s="28">
        <v>-0.137325051357816</v>
      </c>
      <c r="N643" s="30">
        <v>163</v>
      </c>
      <c r="O643" s="31" t="s">
        <v>203</v>
      </c>
      <c r="AH643" s="2">
        <v>0</v>
      </c>
      <c r="AI643" s="2">
        <v>0</v>
      </c>
      <c r="AJ643" s="2">
        <v>0</v>
      </c>
    </row>
    <row r="644" s="2" customFormat="1" spans="1:36">
      <c r="A644" s="2" t="str">
        <f>VLOOKUP(B644,'[1]2. ISIC行业分类'!$A$2:$B$102,2,FALSE)</f>
        <v>C2100</v>
      </c>
      <c r="B644" s="18" t="s">
        <v>202</v>
      </c>
      <c r="C644" s="19">
        <v>2016</v>
      </c>
      <c r="D644" s="20">
        <v>0</v>
      </c>
      <c r="E644" s="20">
        <v>9.42694</v>
      </c>
      <c r="F644" s="17">
        <f t="shared" si="39"/>
        <v>0</v>
      </c>
      <c r="G644" s="20">
        <v>24.78775</v>
      </c>
      <c r="H644" s="20">
        <v>195.15594</v>
      </c>
      <c r="I644" s="28">
        <v>0.127015093673295</v>
      </c>
      <c r="J644" s="29">
        <v>25.33748</v>
      </c>
      <c r="K644" s="28">
        <v>0.129831969244697</v>
      </c>
      <c r="L644" s="20">
        <v>-35.4119</v>
      </c>
      <c r="M644" s="28">
        <v>-0.181454379507998</v>
      </c>
      <c r="N644" s="30">
        <v>177</v>
      </c>
      <c r="O644" s="31" t="s">
        <v>203</v>
      </c>
      <c r="P644" s="44">
        <v>0</v>
      </c>
      <c r="Q644" s="44">
        <v>0</v>
      </c>
      <c r="R644" s="44">
        <v>0</v>
      </c>
      <c r="S644" s="44">
        <v>0</v>
      </c>
      <c r="T644" s="44">
        <v>0</v>
      </c>
      <c r="U644" s="44">
        <v>0</v>
      </c>
      <c r="V644" s="44">
        <v>0</v>
      </c>
      <c r="W644" s="44">
        <v>0</v>
      </c>
      <c r="X644" s="44">
        <v>0</v>
      </c>
      <c r="Y644" s="37">
        <v>0</v>
      </c>
      <c r="Z644" s="44">
        <v>0</v>
      </c>
      <c r="AA644" s="44">
        <v>0</v>
      </c>
      <c r="AB644" s="44">
        <v>0</v>
      </c>
      <c r="AC644" s="44">
        <v>0</v>
      </c>
      <c r="AD644" s="44">
        <v>0</v>
      </c>
      <c r="AE644" s="44">
        <f>P644*2+Q644*2+R644*2+S644*1+T644*2+U644*2+V644*2+W644*2+X644*2+Y644*2+Z644*2+AA644*2+AB644*2+AC644*2+AD644*2</f>
        <v>0</v>
      </c>
      <c r="AF644" s="44">
        <v>24569</v>
      </c>
      <c r="AG644" s="45">
        <f>AE644/AF644</f>
        <v>0</v>
      </c>
      <c r="AH644" s="1">
        <v>3</v>
      </c>
      <c r="AI644" s="1">
        <v>199</v>
      </c>
      <c r="AJ644" s="1">
        <v>45</v>
      </c>
    </row>
    <row r="645" s="2" customFormat="1" spans="1:36">
      <c r="A645" s="2" t="str">
        <f>VLOOKUP(B645,'[1]2. ISIC行业分类'!$A$2:$B$102,2,FALSE)</f>
        <v>C2100</v>
      </c>
      <c r="B645" s="18" t="s">
        <v>202</v>
      </c>
      <c r="C645" s="19">
        <v>2017</v>
      </c>
      <c r="D645" s="20">
        <v>28.93326</v>
      </c>
      <c r="E645" s="20">
        <v>7.02543</v>
      </c>
      <c r="F645" s="17">
        <f t="shared" si="39"/>
        <v>4.11836143837459</v>
      </c>
      <c r="G645" s="20">
        <v>19.59961</v>
      </c>
      <c r="H645" s="20">
        <v>246.08213</v>
      </c>
      <c r="I645" s="28">
        <v>0.0796466204189634</v>
      </c>
      <c r="J645" s="29">
        <v>23.96784</v>
      </c>
      <c r="K645" s="28">
        <v>0.0973977265232547</v>
      </c>
      <c r="L645" s="20">
        <v>-39.99436</v>
      </c>
      <c r="M645" s="28">
        <v>-0.162524438487264</v>
      </c>
      <c r="N645" s="30">
        <v>149</v>
      </c>
      <c r="O645" s="31" t="s">
        <v>203</v>
      </c>
      <c r="P645" s="44">
        <v>0</v>
      </c>
      <c r="Q645" s="44">
        <v>0</v>
      </c>
      <c r="R645" s="44">
        <v>0</v>
      </c>
      <c r="S645" s="44">
        <v>0</v>
      </c>
      <c r="T645" s="44">
        <v>0</v>
      </c>
      <c r="U645" s="44">
        <v>0</v>
      </c>
      <c r="V645" s="44">
        <v>0</v>
      </c>
      <c r="W645" s="44">
        <v>0</v>
      </c>
      <c r="X645" s="44">
        <v>0</v>
      </c>
      <c r="Y645" s="37">
        <v>0</v>
      </c>
      <c r="Z645" s="44">
        <v>0</v>
      </c>
      <c r="AA645" s="44">
        <v>0</v>
      </c>
      <c r="AB645" s="44">
        <v>0</v>
      </c>
      <c r="AC645" s="44">
        <v>0</v>
      </c>
      <c r="AD645" s="44">
        <v>0</v>
      </c>
      <c r="AE645" s="44">
        <f>P645*2+Q645*2+R645*2+S645*1+T645*2+U645*2+V645*2+W645*2+X645*2+Y645*2+Z645*2+AA645*2+AB645*2+AC645*2+AD645*2</f>
        <v>0</v>
      </c>
      <c r="AF645" s="44">
        <v>24191</v>
      </c>
      <c r="AG645" s="45">
        <f>AE645/AF645</f>
        <v>0</v>
      </c>
      <c r="AH645" s="1">
        <v>1</v>
      </c>
      <c r="AI645" s="1">
        <v>9</v>
      </c>
      <c r="AJ645" s="1">
        <v>6</v>
      </c>
    </row>
    <row r="646" s="2" customFormat="1" spans="1:36">
      <c r="A646" s="2" t="str">
        <f>VLOOKUP(B646,'[1]2. ISIC行业分类'!$A$2:$B$102,2,FALSE)</f>
        <v>C2720</v>
      </c>
      <c r="B646" s="18" t="s">
        <v>204</v>
      </c>
      <c r="C646" s="19">
        <v>2014</v>
      </c>
      <c r="D646" s="20">
        <v>0</v>
      </c>
      <c r="E646" s="20">
        <v>163.55048</v>
      </c>
      <c r="F646" s="17">
        <f t="shared" si="39"/>
        <v>0</v>
      </c>
      <c r="G646" s="20">
        <v>245.5556</v>
      </c>
      <c r="H646" s="20">
        <v>424.81376</v>
      </c>
      <c r="I646" s="28">
        <v>0.578031182417443</v>
      </c>
      <c r="J646" s="29">
        <v>88.98807</v>
      </c>
      <c r="K646" s="28">
        <v>0.209475488741231</v>
      </c>
      <c r="L646" s="20">
        <v>40.40299</v>
      </c>
      <c r="M646" s="28">
        <v>0.0951075360647452</v>
      </c>
      <c r="N646" s="30">
        <v>0</v>
      </c>
      <c r="O646" s="31" t="s">
        <v>205</v>
      </c>
      <c r="AH646" s="1">
        <v>2</v>
      </c>
      <c r="AI646" s="1">
        <v>35</v>
      </c>
      <c r="AJ646" s="1">
        <v>23</v>
      </c>
    </row>
    <row r="647" s="2" customFormat="1" spans="1:36">
      <c r="A647" s="2" t="str">
        <f>VLOOKUP(B647,'[1]2. ISIC行业分类'!$A$2:$B$102,2,FALSE)</f>
        <v>C2720</v>
      </c>
      <c r="B647" s="18" t="s">
        <v>204</v>
      </c>
      <c r="C647" s="19">
        <v>2015</v>
      </c>
      <c r="D647" s="20">
        <v>0</v>
      </c>
      <c r="E647" s="20">
        <v>1133.20666</v>
      </c>
      <c r="F647" s="17">
        <f t="shared" si="39"/>
        <v>0</v>
      </c>
      <c r="G647" s="20">
        <v>384.44772</v>
      </c>
      <c r="H647" s="20">
        <v>1008.86514</v>
      </c>
      <c r="I647" s="28">
        <v>0.381069485659897</v>
      </c>
      <c r="J647" s="29">
        <v>1186.90057</v>
      </c>
      <c r="K647" s="28">
        <v>1.176470989968</v>
      </c>
      <c r="L647" s="20">
        <v>-12.41769</v>
      </c>
      <c r="M647" s="28">
        <v>-0.012308572779113</v>
      </c>
      <c r="N647" s="30">
        <v>4695</v>
      </c>
      <c r="O647" s="31" t="s">
        <v>206</v>
      </c>
      <c r="AH647" s="1">
        <v>4</v>
      </c>
      <c r="AI647" s="1">
        <v>34</v>
      </c>
      <c r="AJ647" s="1">
        <v>14</v>
      </c>
    </row>
    <row r="648" s="2" customFormat="1" spans="1:36">
      <c r="A648" s="2" t="str">
        <f>VLOOKUP(B648,'[1]2. ISIC行业分类'!$A$2:$B$102,2,FALSE)</f>
        <v>C2720</v>
      </c>
      <c r="B648" s="18" t="s">
        <v>204</v>
      </c>
      <c r="C648" s="19">
        <v>2016</v>
      </c>
      <c r="D648" s="20">
        <v>0</v>
      </c>
      <c r="E648" s="20">
        <v>117.1468</v>
      </c>
      <c r="F648" s="17">
        <f t="shared" ref="F648:F671" si="43">D648/E648</f>
        <v>0</v>
      </c>
      <c r="G648" s="20">
        <v>94.12667</v>
      </c>
      <c r="H648" s="20">
        <v>241.30764</v>
      </c>
      <c r="I648" s="28">
        <v>0.390069166479768</v>
      </c>
      <c r="J648" s="29">
        <v>72.66922</v>
      </c>
      <c r="K648" s="28">
        <v>0.301147613892374</v>
      </c>
      <c r="L648" s="20">
        <v>5.83344</v>
      </c>
      <c r="M648" s="28">
        <v>0.0241742864005466</v>
      </c>
      <c r="N648" s="30">
        <v>0</v>
      </c>
      <c r="O648" s="31" t="s">
        <v>207</v>
      </c>
      <c r="AH648" s="2">
        <v>0</v>
      </c>
      <c r="AI648" s="2">
        <v>0</v>
      </c>
      <c r="AJ648" s="2">
        <v>0</v>
      </c>
    </row>
    <row r="649" s="2" customFormat="1" spans="1:36">
      <c r="A649" s="2" t="str">
        <f>VLOOKUP(B649,'[1]2. ISIC行业分类'!$A$2:$B$102,2,FALSE)</f>
        <v>C2720</v>
      </c>
      <c r="B649" s="18" t="s">
        <v>204</v>
      </c>
      <c r="C649" s="19">
        <v>2017</v>
      </c>
      <c r="D649" s="20">
        <v>3.50979</v>
      </c>
      <c r="E649" s="20">
        <v>201.43645</v>
      </c>
      <c r="F649" s="17">
        <f t="shared" si="43"/>
        <v>0.0174238078560261</v>
      </c>
      <c r="G649" s="20">
        <v>525.63073</v>
      </c>
      <c r="H649" s="20">
        <v>1123.8412</v>
      </c>
      <c r="I649" s="28">
        <v>0.467709076691618</v>
      </c>
      <c r="J649" s="29">
        <v>234.05167</v>
      </c>
      <c r="K649" s="28">
        <v>0.208260446404706</v>
      </c>
      <c r="L649" s="20">
        <v>5.16868</v>
      </c>
      <c r="M649" s="28">
        <v>0.00459911951973286</v>
      </c>
      <c r="N649" s="30">
        <v>1087</v>
      </c>
      <c r="O649" s="31" t="s">
        <v>110</v>
      </c>
      <c r="AH649" s="2">
        <v>0</v>
      </c>
      <c r="AI649" s="2">
        <v>0</v>
      </c>
      <c r="AJ649" s="2">
        <v>0</v>
      </c>
    </row>
    <row r="650" s="2" customFormat="1" spans="1:36">
      <c r="A650" s="2" t="str">
        <f>VLOOKUP(B650,'[1]2. ISIC行业分类'!$A$2:$B$102,2,FALSE)</f>
        <v>C2720</v>
      </c>
      <c r="B650" s="18" t="s">
        <v>204</v>
      </c>
      <c r="C650" s="19">
        <v>2018</v>
      </c>
      <c r="D650" s="20">
        <v>38.87924</v>
      </c>
      <c r="E650" s="20">
        <v>3165.0695</v>
      </c>
      <c r="F650" s="17">
        <f t="shared" si="43"/>
        <v>0.012283850323034</v>
      </c>
      <c r="G650" s="20">
        <v>2456.45927</v>
      </c>
      <c r="H650" s="20">
        <v>4292.5889</v>
      </c>
      <c r="I650" s="28">
        <v>0.572255887350405</v>
      </c>
      <c r="J650" s="29">
        <v>3595.17803</v>
      </c>
      <c r="K650" s="28">
        <v>0.837531409075768</v>
      </c>
      <c r="L650" s="20">
        <v>325.34313</v>
      </c>
      <c r="M650" s="28">
        <v>0.0757918211082361</v>
      </c>
      <c r="N650" s="30">
        <v>0</v>
      </c>
      <c r="O650" s="31" t="s">
        <v>208</v>
      </c>
      <c r="AH650" s="2">
        <v>0</v>
      </c>
      <c r="AI650" s="2">
        <v>0</v>
      </c>
      <c r="AJ650" s="2">
        <v>0</v>
      </c>
    </row>
    <row r="651" s="2" customFormat="1" spans="1:36">
      <c r="A651" s="2" t="str">
        <f>VLOOKUP(B651,'[1]2. ISIC行业分类'!$A$2:$B$102,2,FALSE)</f>
        <v>C2720</v>
      </c>
      <c r="B651" s="18" t="s">
        <v>204</v>
      </c>
      <c r="C651" s="19">
        <v>2019</v>
      </c>
      <c r="D651" s="20">
        <v>11.64746</v>
      </c>
      <c r="E651" s="20">
        <v>284.44374</v>
      </c>
      <c r="F651" s="17">
        <f t="shared" si="43"/>
        <v>0.0409482029732839</v>
      </c>
      <c r="G651" s="20">
        <v>50.72962</v>
      </c>
      <c r="H651" s="20">
        <v>322.25093</v>
      </c>
      <c r="I651" s="28">
        <v>0.157422726444886</v>
      </c>
      <c r="J651" s="29">
        <v>223.9335</v>
      </c>
      <c r="K651" s="28">
        <v>0.694904123317813</v>
      </c>
      <c r="L651" s="20">
        <v>13.85258</v>
      </c>
      <c r="M651" s="28">
        <v>0.0429869356777341</v>
      </c>
      <c r="N651" s="30">
        <v>1687</v>
      </c>
      <c r="O651" s="31" t="s">
        <v>209</v>
      </c>
      <c r="P651" s="44">
        <v>0</v>
      </c>
      <c r="Q651" s="44">
        <v>0</v>
      </c>
      <c r="R651" s="44">
        <v>0</v>
      </c>
      <c r="S651" s="44">
        <v>0</v>
      </c>
      <c r="T651" s="44">
        <v>0</v>
      </c>
      <c r="U651" s="44">
        <v>0</v>
      </c>
      <c r="V651" s="44">
        <v>0</v>
      </c>
      <c r="W651" s="44">
        <v>0</v>
      </c>
      <c r="X651" s="44">
        <v>0</v>
      </c>
      <c r="Y651" s="37">
        <v>0</v>
      </c>
      <c r="Z651" s="44">
        <v>0</v>
      </c>
      <c r="AA651" s="44">
        <v>0</v>
      </c>
      <c r="AB651" s="44">
        <v>0</v>
      </c>
      <c r="AC651" s="44">
        <v>0</v>
      </c>
      <c r="AD651" s="44">
        <v>0</v>
      </c>
      <c r="AE651" s="44">
        <f t="shared" ref="AE651:AE657" si="44">P651*2+Q651*2+R651*2+S651*1+T651*2+U651*2+V651*2+W651*2+X651*2+Y651*2+Z651*2+AA651*2+AB651*2+AC651*2+AD651*2</f>
        <v>0</v>
      </c>
      <c r="AF651" s="44">
        <v>45133</v>
      </c>
      <c r="AG651" s="45">
        <f t="shared" ref="AG651:AG657" si="45">AE651/AF651</f>
        <v>0</v>
      </c>
      <c r="AH651" s="1">
        <v>1</v>
      </c>
      <c r="AI651" s="1">
        <v>13</v>
      </c>
      <c r="AJ651" s="1">
        <v>3</v>
      </c>
    </row>
    <row r="652" s="2" customFormat="1" spans="1:36">
      <c r="A652" s="2" t="str">
        <f>VLOOKUP(B652,'[1]2. ISIC行业分类'!$A$2:$B$102,2,FALSE)</f>
        <v>C2810</v>
      </c>
      <c r="B652" s="18" t="s">
        <v>210</v>
      </c>
      <c r="C652" s="19">
        <v>2014</v>
      </c>
      <c r="D652" s="20">
        <v>8.47304</v>
      </c>
      <c r="E652" s="20">
        <v>372.81365</v>
      </c>
      <c r="F652" s="17">
        <f t="shared" si="43"/>
        <v>0.0227272794330358</v>
      </c>
      <c r="G652" s="20">
        <v>95.98741</v>
      </c>
      <c r="H652" s="20">
        <v>236.15566</v>
      </c>
      <c r="I652" s="28">
        <v>0.406458223359965</v>
      </c>
      <c r="J652" s="29">
        <v>87.39333</v>
      </c>
      <c r="K652" s="28">
        <v>0.370066633168987</v>
      </c>
      <c r="L652" s="20">
        <v>28.80833</v>
      </c>
      <c r="M652" s="28">
        <v>0.121988734040929</v>
      </c>
      <c r="N652" s="30">
        <v>1480</v>
      </c>
      <c r="O652" s="31">
        <v>1989</v>
      </c>
      <c r="AH652" s="1">
        <v>1</v>
      </c>
      <c r="AI652" s="1">
        <v>11</v>
      </c>
      <c r="AJ652" s="1">
        <v>5</v>
      </c>
    </row>
    <row r="653" s="2" customFormat="1" spans="1:36">
      <c r="A653" s="2" t="str">
        <f>VLOOKUP(B653,'[1]2. ISIC行业分类'!$A$2:$B$102,2,FALSE)</f>
        <v>C2810</v>
      </c>
      <c r="B653" s="18" t="s">
        <v>210</v>
      </c>
      <c r="C653" s="19">
        <v>2015</v>
      </c>
      <c r="D653" s="20">
        <v>10.10046</v>
      </c>
      <c r="E653" s="20">
        <v>366.98344</v>
      </c>
      <c r="F653" s="17">
        <f t="shared" si="43"/>
        <v>0.0275229312799509</v>
      </c>
      <c r="G653" s="20">
        <v>98.83247</v>
      </c>
      <c r="H653" s="20">
        <v>239.37008</v>
      </c>
      <c r="I653" s="28">
        <v>0.412885645524286</v>
      </c>
      <c r="J653" s="29">
        <v>81.88976</v>
      </c>
      <c r="K653" s="28">
        <v>0.342105245567867</v>
      </c>
      <c r="L653" s="20">
        <v>30.95303</v>
      </c>
      <c r="M653" s="28">
        <v>0.129310354911524</v>
      </c>
      <c r="N653" s="30">
        <v>1509</v>
      </c>
      <c r="O653" s="31">
        <v>1989</v>
      </c>
      <c r="P653" s="44">
        <v>0</v>
      </c>
      <c r="Q653" s="44">
        <v>0</v>
      </c>
      <c r="R653" s="44">
        <v>0</v>
      </c>
      <c r="S653" s="44">
        <v>0</v>
      </c>
      <c r="T653" s="44">
        <v>0</v>
      </c>
      <c r="U653" s="44">
        <v>0</v>
      </c>
      <c r="V653" s="44">
        <v>0</v>
      </c>
      <c r="W653" s="44">
        <v>0</v>
      </c>
      <c r="X653" s="44">
        <v>0</v>
      </c>
      <c r="Y653" s="37">
        <v>0</v>
      </c>
      <c r="Z653" s="44">
        <v>0</v>
      </c>
      <c r="AA653" s="44">
        <v>0</v>
      </c>
      <c r="AB653" s="44">
        <v>0</v>
      </c>
      <c r="AC653" s="44">
        <v>0</v>
      </c>
      <c r="AD653" s="44">
        <v>0</v>
      </c>
      <c r="AE653" s="44">
        <f t="shared" si="44"/>
        <v>0</v>
      </c>
      <c r="AF653" s="44">
        <v>20071</v>
      </c>
      <c r="AG653" s="45">
        <f t="shared" si="45"/>
        <v>0</v>
      </c>
      <c r="AH653" s="1">
        <v>0</v>
      </c>
      <c r="AI653" s="1">
        <v>0</v>
      </c>
      <c r="AJ653" s="1">
        <v>0</v>
      </c>
    </row>
    <row r="654" s="2" customFormat="1" spans="1:36">
      <c r="A654" s="2" t="str">
        <f>VLOOKUP(B654,'[1]2. ISIC行业分类'!$A$2:$B$102,2,FALSE)</f>
        <v>C2810</v>
      </c>
      <c r="B654" s="18" t="s">
        <v>210</v>
      </c>
      <c r="C654" s="19">
        <v>2016</v>
      </c>
      <c r="D654" s="20">
        <v>10.45076</v>
      </c>
      <c r="E654" s="20">
        <v>378.444</v>
      </c>
      <c r="F654" s="17">
        <f t="shared" si="43"/>
        <v>0.0276150764710235</v>
      </c>
      <c r="G654" s="20">
        <v>99.01826</v>
      </c>
      <c r="H654" s="20">
        <v>244.90658</v>
      </c>
      <c r="I654" s="28">
        <v>0.404310329269226</v>
      </c>
      <c r="J654" s="29">
        <v>84.23942</v>
      </c>
      <c r="K654" s="28">
        <v>0.343965523506963</v>
      </c>
      <c r="L654" s="20">
        <v>32.51346</v>
      </c>
      <c r="M654" s="28">
        <v>0.132758621675253</v>
      </c>
      <c r="N654" s="30">
        <v>1552</v>
      </c>
      <c r="O654" s="31">
        <v>1989</v>
      </c>
      <c r="P654" s="44">
        <v>0</v>
      </c>
      <c r="Q654" s="44">
        <v>0</v>
      </c>
      <c r="R654" s="44">
        <v>0</v>
      </c>
      <c r="S654" s="44">
        <v>0</v>
      </c>
      <c r="T654" s="44">
        <v>0</v>
      </c>
      <c r="U654" s="44">
        <v>0</v>
      </c>
      <c r="V654" s="44">
        <v>0</v>
      </c>
      <c r="W654" s="44">
        <v>0</v>
      </c>
      <c r="X654" s="44">
        <v>0</v>
      </c>
      <c r="Y654" s="37">
        <v>0</v>
      </c>
      <c r="Z654" s="44">
        <v>0</v>
      </c>
      <c r="AA654" s="44">
        <v>0</v>
      </c>
      <c r="AB654" s="44">
        <v>0</v>
      </c>
      <c r="AC654" s="44">
        <v>0</v>
      </c>
      <c r="AD654" s="44">
        <v>0</v>
      </c>
      <c r="AE654" s="44">
        <f t="shared" si="44"/>
        <v>0</v>
      </c>
      <c r="AF654" s="44">
        <v>21867</v>
      </c>
      <c r="AG654" s="45">
        <f t="shared" si="45"/>
        <v>0</v>
      </c>
      <c r="AH654" s="1">
        <v>1</v>
      </c>
      <c r="AI654" s="1">
        <v>15</v>
      </c>
      <c r="AJ654" s="1">
        <v>12</v>
      </c>
    </row>
    <row r="655" s="2" customFormat="1" spans="1:36">
      <c r="A655" s="2" t="str">
        <f>VLOOKUP(B655,'[1]2. ISIC行业分类'!$A$2:$B$102,2,FALSE)</f>
        <v>C2810</v>
      </c>
      <c r="B655" s="18" t="s">
        <v>210</v>
      </c>
      <c r="C655" s="19">
        <v>2017</v>
      </c>
      <c r="D655" s="20">
        <v>12.36792</v>
      </c>
      <c r="E655" s="20">
        <v>451.60903</v>
      </c>
      <c r="F655" s="17">
        <f t="shared" si="43"/>
        <v>0.027386343448447</v>
      </c>
      <c r="G655" s="20">
        <v>121.51777</v>
      </c>
      <c r="H655" s="20">
        <v>288.42459</v>
      </c>
      <c r="I655" s="28">
        <v>0.421315568135158</v>
      </c>
      <c r="J655" s="29">
        <v>97.38233</v>
      </c>
      <c r="K655" s="28">
        <v>0.337635324366761</v>
      </c>
      <c r="L655" s="20">
        <v>38.18444</v>
      </c>
      <c r="M655" s="28">
        <v>0.132389682863032</v>
      </c>
      <c r="N655" s="30">
        <v>1653</v>
      </c>
      <c r="O655" s="31">
        <v>1989</v>
      </c>
      <c r="P655" s="44">
        <v>0</v>
      </c>
      <c r="Q655" s="44">
        <v>0</v>
      </c>
      <c r="R655" s="44">
        <v>0</v>
      </c>
      <c r="S655" s="44">
        <v>0</v>
      </c>
      <c r="T655" s="44">
        <v>0</v>
      </c>
      <c r="U655" s="44">
        <v>0</v>
      </c>
      <c r="V655" s="44">
        <v>0</v>
      </c>
      <c r="W655" s="44">
        <v>0</v>
      </c>
      <c r="X655" s="44">
        <v>0</v>
      </c>
      <c r="Y655" s="37">
        <v>0</v>
      </c>
      <c r="Z655" s="44">
        <v>0</v>
      </c>
      <c r="AA655" s="44">
        <v>0</v>
      </c>
      <c r="AB655" s="44">
        <v>0</v>
      </c>
      <c r="AC655" s="44">
        <v>0</v>
      </c>
      <c r="AD655" s="44">
        <v>0</v>
      </c>
      <c r="AE655" s="44">
        <f t="shared" si="44"/>
        <v>0</v>
      </c>
      <c r="AF655" s="44">
        <v>2154</v>
      </c>
      <c r="AG655" s="45">
        <f t="shared" si="45"/>
        <v>0</v>
      </c>
      <c r="AH655" s="1">
        <v>0</v>
      </c>
      <c r="AI655" s="1">
        <v>0</v>
      </c>
      <c r="AJ655" s="1">
        <v>0</v>
      </c>
    </row>
    <row r="656" s="2" customFormat="1" spans="1:36">
      <c r="A656" s="2" t="str">
        <f>VLOOKUP(B656,'[1]2. ISIC行业分类'!$A$2:$B$102,2,FALSE)</f>
        <v>C2810</v>
      </c>
      <c r="B656" s="18" t="s">
        <v>210</v>
      </c>
      <c r="C656" s="19">
        <v>2018</v>
      </c>
      <c r="D656" s="20">
        <v>13.05244</v>
      </c>
      <c r="E656" s="20">
        <v>484.77216</v>
      </c>
      <c r="F656" s="17">
        <f t="shared" si="43"/>
        <v>0.026924896017131</v>
      </c>
      <c r="G656" s="20">
        <v>127.77651</v>
      </c>
      <c r="H656" s="20">
        <v>303.29746</v>
      </c>
      <c r="I656" s="28">
        <v>0.421291065213668</v>
      </c>
      <c r="J656" s="29">
        <v>102.3586</v>
      </c>
      <c r="K656" s="28">
        <v>0.337485846403066</v>
      </c>
      <c r="L656" s="20">
        <v>43.85161</v>
      </c>
      <c r="M656" s="28">
        <v>0.144582846160334</v>
      </c>
      <c r="N656" s="30">
        <v>1807</v>
      </c>
      <c r="O656" s="31">
        <v>1989</v>
      </c>
      <c r="P656" s="44">
        <v>0</v>
      </c>
      <c r="Q656" s="44">
        <v>0</v>
      </c>
      <c r="R656" s="44">
        <v>0</v>
      </c>
      <c r="S656" s="44">
        <v>0</v>
      </c>
      <c r="T656" s="44">
        <v>0</v>
      </c>
      <c r="U656" s="44">
        <v>0</v>
      </c>
      <c r="V656" s="44">
        <v>0</v>
      </c>
      <c r="W656" s="44">
        <v>0</v>
      </c>
      <c r="X656" s="44">
        <v>0</v>
      </c>
      <c r="Y656" s="37">
        <v>0</v>
      </c>
      <c r="Z656" s="44">
        <v>0</v>
      </c>
      <c r="AA656" s="44">
        <v>0</v>
      </c>
      <c r="AB656" s="44">
        <v>0</v>
      </c>
      <c r="AC656" s="44">
        <v>0</v>
      </c>
      <c r="AD656" s="44">
        <v>0</v>
      </c>
      <c r="AE656" s="44">
        <f t="shared" si="44"/>
        <v>0</v>
      </c>
      <c r="AF656" s="44">
        <v>22754</v>
      </c>
      <c r="AG656" s="45">
        <f t="shared" si="45"/>
        <v>0</v>
      </c>
      <c r="AH656" s="1">
        <v>0</v>
      </c>
      <c r="AI656" s="1">
        <v>0</v>
      </c>
      <c r="AJ656" s="1">
        <v>0</v>
      </c>
    </row>
    <row r="657" s="2" customFormat="1" spans="1:36">
      <c r="A657" s="2" t="str">
        <f>VLOOKUP(B657,'[1]2. ISIC行业分类'!$A$2:$B$102,2,FALSE)</f>
        <v>C2810</v>
      </c>
      <c r="B657" s="18" t="s">
        <v>210</v>
      </c>
      <c r="C657" s="19">
        <v>2019</v>
      </c>
      <c r="D657" s="20">
        <v>12.68096</v>
      </c>
      <c r="E657" s="20">
        <v>528.78465</v>
      </c>
      <c r="F657" s="17">
        <f t="shared" si="43"/>
        <v>0.0239813315307091</v>
      </c>
      <c r="G657" s="20">
        <v>132.19616</v>
      </c>
      <c r="H657" s="20">
        <v>325.21603</v>
      </c>
      <c r="I657" s="28">
        <v>0.406487220202522</v>
      </c>
      <c r="J657" s="29">
        <v>113.23084</v>
      </c>
      <c r="K657" s="28">
        <v>0.34817115257203</v>
      </c>
      <c r="L657" s="20">
        <v>49.82606</v>
      </c>
      <c r="M657" s="28">
        <v>0.153209114569168</v>
      </c>
      <c r="N657" s="30">
        <v>1913</v>
      </c>
      <c r="O657" s="31">
        <v>1989</v>
      </c>
      <c r="P657" s="44">
        <v>0</v>
      </c>
      <c r="Q657" s="44">
        <v>0</v>
      </c>
      <c r="R657" s="44">
        <v>0</v>
      </c>
      <c r="S657" s="44">
        <v>0</v>
      </c>
      <c r="T657" s="44">
        <v>0</v>
      </c>
      <c r="U657" s="44">
        <v>0</v>
      </c>
      <c r="V657" s="44">
        <v>0</v>
      </c>
      <c r="W657" s="44">
        <v>0</v>
      </c>
      <c r="X657" s="44">
        <v>0</v>
      </c>
      <c r="Y657" s="37">
        <v>0</v>
      </c>
      <c r="Z657" s="44">
        <v>0</v>
      </c>
      <c r="AA657" s="44">
        <v>0</v>
      </c>
      <c r="AB657" s="44">
        <v>0</v>
      </c>
      <c r="AC657" s="44">
        <v>0</v>
      </c>
      <c r="AD657" s="44">
        <v>0</v>
      </c>
      <c r="AE657" s="44">
        <f t="shared" si="44"/>
        <v>0</v>
      </c>
      <c r="AF657" s="44">
        <v>2251</v>
      </c>
      <c r="AG657" s="45">
        <f t="shared" si="45"/>
        <v>0</v>
      </c>
      <c r="AH657" s="1">
        <v>1</v>
      </c>
      <c r="AI657" s="1">
        <v>13</v>
      </c>
      <c r="AJ657" s="1">
        <v>2</v>
      </c>
    </row>
    <row r="658" s="2" customFormat="1" spans="1:36">
      <c r="A658" s="2" t="str">
        <f>VLOOKUP(B658,'[1]2. ISIC行业分类'!$A$2:$B$102,2,FALSE)</f>
        <v>C2100</v>
      </c>
      <c r="B658" s="18" t="s">
        <v>211</v>
      </c>
      <c r="C658" s="19">
        <v>2014</v>
      </c>
      <c r="D658" s="20">
        <v>0</v>
      </c>
      <c r="E658" s="20">
        <v>0</v>
      </c>
      <c r="F658" s="17" t="e">
        <f t="shared" si="43"/>
        <v>#DIV/0!</v>
      </c>
      <c r="G658" s="20">
        <v>0</v>
      </c>
      <c r="H658" s="20">
        <v>0</v>
      </c>
      <c r="I658" s="28" t="e">
        <v>#DIV/0!</v>
      </c>
      <c r="J658" s="29">
        <v>0</v>
      </c>
      <c r="K658" s="28" t="e">
        <v>#DIV/0!</v>
      </c>
      <c r="L658" s="20">
        <v>0</v>
      </c>
      <c r="M658" s="28" t="e">
        <v>#DIV/0!</v>
      </c>
      <c r="N658" s="30">
        <v>0</v>
      </c>
      <c r="O658" s="31" t="s">
        <v>40</v>
      </c>
      <c r="AH658" s="1">
        <v>1</v>
      </c>
      <c r="AI658" s="1">
        <v>31</v>
      </c>
      <c r="AJ658" s="1">
        <v>16</v>
      </c>
    </row>
    <row r="659" s="2" customFormat="1" spans="1:36">
      <c r="A659" s="2" t="str">
        <f>VLOOKUP(B659,'[1]2. ISIC行业分类'!$A$2:$B$102,2,FALSE)</f>
        <v>C2100</v>
      </c>
      <c r="B659" s="18" t="s">
        <v>211</v>
      </c>
      <c r="C659" s="19">
        <v>2015</v>
      </c>
      <c r="D659" s="20">
        <v>0</v>
      </c>
      <c r="E659" s="20">
        <v>0.14383</v>
      </c>
      <c r="F659" s="17">
        <f t="shared" si="43"/>
        <v>0</v>
      </c>
      <c r="G659" s="20">
        <v>5.74205</v>
      </c>
      <c r="H659" s="20">
        <v>16.16944</v>
      </c>
      <c r="I659" s="28">
        <v>0.355117431401459</v>
      </c>
      <c r="J659" s="29">
        <v>0</v>
      </c>
      <c r="K659" s="28">
        <v>0</v>
      </c>
      <c r="L659" s="20">
        <v>-5.77701</v>
      </c>
      <c r="M659" s="28">
        <v>-0.357279534727239</v>
      </c>
      <c r="N659" s="30">
        <v>0</v>
      </c>
      <c r="O659" s="31" t="s">
        <v>40</v>
      </c>
      <c r="P659" s="44">
        <v>0</v>
      </c>
      <c r="Q659" s="44">
        <v>0</v>
      </c>
      <c r="R659" s="44">
        <v>0</v>
      </c>
      <c r="S659" s="44">
        <v>0</v>
      </c>
      <c r="T659" s="44">
        <v>0</v>
      </c>
      <c r="U659" s="44">
        <v>0</v>
      </c>
      <c r="V659" s="44">
        <v>0</v>
      </c>
      <c r="W659" s="44">
        <v>0</v>
      </c>
      <c r="X659" s="44">
        <v>0</v>
      </c>
      <c r="Y659" s="37">
        <v>0</v>
      </c>
      <c r="Z659" s="44">
        <v>0</v>
      </c>
      <c r="AA659" s="44">
        <v>0</v>
      </c>
      <c r="AB659" s="44">
        <v>0</v>
      </c>
      <c r="AC659" s="44">
        <v>0</v>
      </c>
      <c r="AD659" s="44">
        <v>0</v>
      </c>
      <c r="AE659" s="44">
        <f t="shared" ref="AE659:AE663" si="46">P659*2+Q659*2+R659*2+S659*1+T659*2+U659*2+V659*2+W659*2+X659*2+Y659*2+Z659*2+AA659*2+AB659*2+AC659*2+AD659*2</f>
        <v>0</v>
      </c>
      <c r="AF659" s="44">
        <v>24665</v>
      </c>
      <c r="AG659" s="45">
        <f t="shared" ref="AG659:AG663" si="47">AE659/AF659</f>
        <v>0</v>
      </c>
      <c r="AH659" s="2">
        <v>0</v>
      </c>
      <c r="AI659" s="2">
        <v>0</v>
      </c>
      <c r="AJ659" s="2">
        <v>0</v>
      </c>
    </row>
    <row r="660" s="2" customFormat="1" spans="1:36">
      <c r="A660" s="2" t="str">
        <f>VLOOKUP(B660,'[1]2. ISIC行业分类'!$A$2:$B$102,2,FALSE)</f>
        <v>C2100</v>
      </c>
      <c r="B660" s="18" t="s">
        <v>211</v>
      </c>
      <c r="C660" s="19">
        <v>2016</v>
      </c>
      <c r="D660" s="20">
        <v>0</v>
      </c>
      <c r="E660" s="20">
        <v>1.04452</v>
      </c>
      <c r="F660" s="17">
        <f t="shared" si="43"/>
        <v>0</v>
      </c>
      <c r="G660" s="20">
        <v>5.3614</v>
      </c>
      <c r="H660" s="20">
        <v>43.08807</v>
      </c>
      <c r="I660" s="28">
        <v>0.124428873235678</v>
      </c>
      <c r="J660" s="29">
        <v>0</v>
      </c>
      <c r="K660" s="28">
        <v>0</v>
      </c>
      <c r="L660" s="20">
        <v>-19.43728</v>
      </c>
      <c r="M660" s="28">
        <v>-0.451105839737078</v>
      </c>
      <c r="N660" s="30">
        <v>17</v>
      </c>
      <c r="O660" s="31" t="s">
        <v>40</v>
      </c>
      <c r="P660" s="44">
        <v>0</v>
      </c>
      <c r="Q660" s="44">
        <v>0</v>
      </c>
      <c r="R660" s="44">
        <v>0</v>
      </c>
      <c r="S660" s="44">
        <v>0</v>
      </c>
      <c r="T660" s="44">
        <v>0</v>
      </c>
      <c r="U660" s="44">
        <v>0</v>
      </c>
      <c r="V660" s="44">
        <v>0</v>
      </c>
      <c r="W660" s="44">
        <v>0</v>
      </c>
      <c r="X660" s="44">
        <v>0</v>
      </c>
      <c r="Y660" s="37">
        <v>0</v>
      </c>
      <c r="Z660" s="44">
        <v>0</v>
      </c>
      <c r="AA660" s="44">
        <v>0</v>
      </c>
      <c r="AB660" s="44">
        <v>0</v>
      </c>
      <c r="AC660" s="44">
        <v>0</v>
      </c>
      <c r="AD660" s="44">
        <v>0</v>
      </c>
      <c r="AE660" s="44">
        <f t="shared" si="46"/>
        <v>0</v>
      </c>
      <c r="AF660" s="44">
        <v>25441</v>
      </c>
      <c r="AG660" s="45">
        <f t="shared" si="47"/>
        <v>0</v>
      </c>
      <c r="AH660" s="1">
        <v>2</v>
      </c>
      <c r="AI660" s="1">
        <v>14</v>
      </c>
      <c r="AJ660" s="1">
        <v>9</v>
      </c>
    </row>
    <row r="661" s="2" customFormat="1" spans="1:36">
      <c r="A661" s="2" t="str">
        <f>VLOOKUP(B661,'[1]2. ISIC行业分类'!$A$2:$B$102,2,FALSE)</f>
        <v>C2100</v>
      </c>
      <c r="B661" s="18" t="s">
        <v>211</v>
      </c>
      <c r="C661" s="19">
        <v>2017</v>
      </c>
      <c r="D661" s="20">
        <v>0</v>
      </c>
      <c r="E661" s="20">
        <v>0.54794</v>
      </c>
      <c r="F661" s="17">
        <f t="shared" si="43"/>
        <v>0</v>
      </c>
      <c r="G661" s="20">
        <v>13.27881</v>
      </c>
      <c r="H661" s="20">
        <v>88.32807</v>
      </c>
      <c r="I661" s="28">
        <v>0.150335108646662</v>
      </c>
      <c r="J661" s="29">
        <v>0</v>
      </c>
      <c r="K661" s="28">
        <v>0</v>
      </c>
      <c r="L661" s="20">
        <v>-16.9143</v>
      </c>
      <c r="M661" s="28">
        <v>-0.191494051664437</v>
      </c>
      <c r="N661" s="30">
        <v>28</v>
      </c>
      <c r="O661" s="31" t="s">
        <v>40</v>
      </c>
      <c r="P661" s="44">
        <v>0</v>
      </c>
      <c r="Q661" s="44">
        <v>0</v>
      </c>
      <c r="R661" s="44">
        <v>0</v>
      </c>
      <c r="S661" s="44">
        <v>0</v>
      </c>
      <c r="T661" s="44">
        <v>0</v>
      </c>
      <c r="U661" s="44">
        <v>0</v>
      </c>
      <c r="V661" s="44">
        <v>0</v>
      </c>
      <c r="W661" s="44">
        <v>0</v>
      </c>
      <c r="X661" s="44">
        <v>0</v>
      </c>
      <c r="Y661" s="37">
        <v>0</v>
      </c>
      <c r="Z661" s="44">
        <v>0</v>
      </c>
      <c r="AA661" s="44">
        <v>0</v>
      </c>
      <c r="AB661" s="44">
        <v>0</v>
      </c>
      <c r="AC661" s="44">
        <v>0</v>
      </c>
      <c r="AD661" s="44">
        <v>0</v>
      </c>
      <c r="AE661" s="44">
        <f t="shared" si="46"/>
        <v>0</v>
      </c>
      <c r="AF661" s="44">
        <v>27688</v>
      </c>
      <c r="AG661" s="45">
        <f t="shared" si="47"/>
        <v>0</v>
      </c>
      <c r="AH661" s="2">
        <v>0</v>
      </c>
      <c r="AI661" s="2">
        <v>0</v>
      </c>
      <c r="AJ661" s="2">
        <v>0</v>
      </c>
    </row>
    <row r="662" s="2" customFormat="1" spans="1:36">
      <c r="A662" s="2" t="str">
        <f>VLOOKUP(B662,'[1]2. ISIC行业分类'!$A$2:$B$102,2,FALSE)</f>
        <v>C2100</v>
      </c>
      <c r="B662" s="18" t="s">
        <v>211</v>
      </c>
      <c r="C662" s="19">
        <v>2018</v>
      </c>
      <c r="D662" s="20">
        <v>6.99419</v>
      </c>
      <c r="E662" s="20">
        <v>0.72666</v>
      </c>
      <c r="F662" s="17">
        <f t="shared" si="43"/>
        <v>9.62512041394875</v>
      </c>
      <c r="G662" s="20">
        <v>9.49022</v>
      </c>
      <c r="H662" s="20">
        <v>87.22001</v>
      </c>
      <c r="I662" s="28">
        <v>0.108807829762918</v>
      </c>
      <c r="J662" s="29">
        <v>0</v>
      </c>
      <c r="K662" s="28">
        <v>0</v>
      </c>
      <c r="L662" s="20">
        <v>-11.88361</v>
      </c>
      <c r="M662" s="28">
        <v>-0.136248665873806</v>
      </c>
      <c r="N662" s="30">
        <v>35</v>
      </c>
      <c r="O662" s="31" t="s">
        <v>40</v>
      </c>
      <c r="P662" s="44">
        <v>0</v>
      </c>
      <c r="Q662" s="44">
        <v>0</v>
      </c>
      <c r="R662" s="44">
        <v>0</v>
      </c>
      <c r="S662" s="44">
        <v>0</v>
      </c>
      <c r="T662" s="44">
        <v>0</v>
      </c>
      <c r="U662" s="44">
        <v>0</v>
      </c>
      <c r="V662" s="44">
        <v>0</v>
      </c>
      <c r="W662" s="44">
        <v>0</v>
      </c>
      <c r="X662" s="44">
        <v>0</v>
      </c>
      <c r="Y662" s="37">
        <v>0</v>
      </c>
      <c r="Z662" s="44">
        <v>0</v>
      </c>
      <c r="AA662" s="44">
        <v>0</v>
      </c>
      <c r="AB662" s="44">
        <v>0</v>
      </c>
      <c r="AC662" s="44">
        <v>0</v>
      </c>
      <c r="AD662" s="44">
        <v>0</v>
      </c>
      <c r="AE662" s="44">
        <f t="shared" si="46"/>
        <v>0</v>
      </c>
      <c r="AF662" s="44">
        <v>31081</v>
      </c>
      <c r="AG662" s="45">
        <f t="shared" si="47"/>
        <v>0</v>
      </c>
      <c r="AH662" s="2">
        <v>0</v>
      </c>
      <c r="AI662" s="2">
        <v>0</v>
      </c>
      <c r="AJ662" s="2">
        <v>0</v>
      </c>
    </row>
    <row r="663" s="2" customFormat="1" spans="1:36">
      <c r="A663" s="2" t="str">
        <f>VLOOKUP(B663,'[1]2. ISIC行业分类'!$A$2:$B$102,2,FALSE)</f>
        <v>C2100</v>
      </c>
      <c r="B663" s="18" t="s">
        <v>211</v>
      </c>
      <c r="C663" s="19">
        <v>2019</v>
      </c>
      <c r="D663" s="20">
        <v>4.89318</v>
      </c>
      <c r="E663" s="20">
        <v>2.64432</v>
      </c>
      <c r="F663" s="17">
        <f t="shared" si="43"/>
        <v>1.85044926483935</v>
      </c>
      <c r="G663" s="20">
        <v>10.32225</v>
      </c>
      <c r="H663" s="20">
        <v>90.71028</v>
      </c>
      <c r="I663" s="28">
        <v>0.113793607516149</v>
      </c>
      <c r="J663" s="29">
        <v>3.25971</v>
      </c>
      <c r="K663" s="28">
        <v>0.0359353978402448</v>
      </c>
      <c r="L663" s="20">
        <v>-11.61809</v>
      </c>
      <c r="M663" s="28">
        <v>-0.128079088720705</v>
      </c>
      <c r="N663" s="30">
        <v>42</v>
      </c>
      <c r="O663" s="31" t="s">
        <v>40</v>
      </c>
      <c r="P663" s="44">
        <v>0</v>
      </c>
      <c r="Q663" s="44">
        <v>0</v>
      </c>
      <c r="R663" s="44">
        <v>0</v>
      </c>
      <c r="S663" s="44">
        <v>0</v>
      </c>
      <c r="T663" s="44">
        <v>0</v>
      </c>
      <c r="U663" s="44">
        <v>0</v>
      </c>
      <c r="V663" s="44">
        <v>0</v>
      </c>
      <c r="W663" s="44">
        <v>0</v>
      </c>
      <c r="X663" s="44">
        <v>0</v>
      </c>
      <c r="Y663" s="37">
        <v>0</v>
      </c>
      <c r="Z663" s="44">
        <v>0</v>
      </c>
      <c r="AA663" s="44">
        <v>0</v>
      </c>
      <c r="AB663" s="44">
        <v>0</v>
      </c>
      <c r="AC663" s="44">
        <v>0</v>
      </c>
      <c r="AD663" s="44">
        <v>0</v>
      </c>
      <c r="AE663" s="44">
        <f t="shared" si="46"/>
        <v>0</v>
      </c>
      <c r="AF663" s="44">
        <v>29539</v>
      </c>
      <c r="AG663" s="45">
        <f t="shared" si="47"/>
        <v>0</v>
      </c>
      <c r="AH663" s="1">
        <v>1</v>
      </c>
      <c r="AI663" s="1">
        <v>12</v>
      </c>
      <c r="AJ663" s="1">
        <v>2</v>
      </c>
    </row>
    <row r="664" s="2" customFormat="1" spans="1:36">
      <c r="A664" s="2" t="str">
        <f>VLOOKUP(B664,'[1]2. ISIC行业分类'!$A$2:$B$102,2,FALSE)</f>
        <v>C2100</v>
      </c>
      <c r="B664" s="18" t="s">
        <v>212</v>
      </c>
      <c r="C664" s="19">
        <v>2014</v>
      </c>
      <c r="D664" s="20">
        <v>0</v>
      </c>
      <c r="E664" s="20">
        <v>26.80303</v>
      </c>
      <c r="F664" s="17">
        <f t="shared" si="43"/>
        <v>0</v>
      </c>
      <c r="G664" s="20">
        <v>45.84382</v>
      </c>
      <c r="H664" s="20">
        <v>195.31519</v>
      </c>
      <c r="I664" s="28">
        <v>0.234717125687971</v>
      </c>
      <c r="J664" s="29">
        <v>5.36842</v>
      </c>
      <c r="K664" s="28">
        <v>0.0274859318417579</v>
      </c>
      <c r="L664" s="20">
        <v>-2.29802</v>
      </c>
      <c r="M664" s="28">
        <v>-0.0117657003533622</v>
      </c>
      <c r="N664" s="30">
        <v>74</v>
      </c>
      <c r="O664" s="31" t="s">
        <v>203</v>
      </c>
      <c r="AH664" s="1">
        <v>1</v>
      </c>
      <c r="AI664" s="1">
        <v>12</v>
      </c>
      <c r="AJ664" s="1">
        <v>27</v>
      </c>
    </row>
    <row r="665" s="2" customFormat="1" spans="1:36">
      <c r="A665" s="2" t="str">
        <f>VLOOKUP(B665,'[1]2. ISIC行业分类'!$A$2:$B$102,2,FALSE)</f>
        <v>C2100</v>
      </c>
      <c r="B665" s="18" t="s">
        <v>212</v>
      </c>
      <c r="C665" s="19">
        <v>2015</v>
      </c>
      <c r="D665" s="20">
        <v>0</v>
      </c>
      <c r="E665" s="20">
        <v>29.08381</v>
      </c>
      <c r="F665" s="17">
        <f t="shared" si="43"/>
        <v>0</v>
      </c>
      <c r="G665" s="20">
        <v>67.5183</v>
      </c>
      <c r="H665" s="20">
        <v>219.12985</v>
      </c>
      <c r="I665" s="28">
        <v>0.308120048455288</v>
      </c>
      <c r="J665" s="29">
        <v>6.612</v>
      </c>
      <c r="K665" s="28">
        <v>0.0301738900473851</v>
      </c>
      <c r="L665" s="20">
        <v>-0.14882</v>
      </c>
      <c r="M665" s="28">
        <v>-0.00067914070127826</v>
      </c>
      <c r="N665" s="30">
        <v>89</v>
      </c>
      <c r="O665" s="31" t="s">
        <v>203</v>
      </c>
      <c r="AH665" s="2">
        <v>0</v>
      </c>
      <c r="AI665" s="2">
        <v>0</v>
      </c>
      <c r="AJ665" s="2">
        <v>0</v>
      </c>
    </row>
    <row r="666" s="2" customFormat="1" spans="1:36">
      <c r="A666" s="2" t="str">
        <f>VLOOKUP(B666,'[1]2. ISIC行业分类'!$A$2:$B$102,2,FALSE)</f>
        <v>C2100</v>
      </c>
      <c r="B666" s="18" t="s">
        <v>212</v>
      </c>
      <c r="C666" s="19">
        <v>2016</v>
      </c>
      <c r="D666" s="20">
        <v>0</v>
      </c>
      <c r="E666" s="20">
        <v>22.68208</v>
      </c>
      <c r="F666" s="17">
        <f t="shared" si="43"/>
        <v>0</v>
      </c>
      <c r="G666" s="20">
        <v>47.55262</v>
      </c>
      <c r="H666" s="20">
        <v>181.23806</v>
      </c>
      <c r="I666" s="28">
        <v>0.262376567041161</v>
      </c>
      <c r="J666" s="29">
        <v>7.48292</v>
      </c>
      <c r="K666" s="28">
        <v>0.0412877957312057</v>
      </c>
      <c r="L666" s="20">
        <v>-18.32287</v>
      </c>
      <c r="M666" s="28">
        <v>-0.101098356493112</v>
      </c>
      <c r="N666" s="30">
        <v>103</v>
      </c>
      <c r="O666" s="31" t="s">
        <v>203</v>
      </c>
      <c r="P666" s="44">
        <v>0</v>
      </c>
      <c r="Q666" s="44">
        <v>0</v>
      </c>
      <c r="R666" s="44">
        <v>0</v>
      </c>
      <c r="S666" s="44">
        <v>0</v>
      </c>
      <c r="T666" s="44">
        <v>0</v>
      </c>
      <c r="U666" s="44">
        <v>0</v>
      </c>
      <c r="V666" s="44">
        <v>0</v>
      </c>
      <c r="W666" s="44">
        <v>0</v>
      </c>
      <c r="X666" s="44">
        <v>0</v>
      </c>
      <c r="Y666" s="37">
        <v>0</v>
      </c>
      <c r="Z666" s="44">
        <v>0</v>
      </c>
      <c r="AA666" s="44">
        <v>0</v>
      </c>
      <c r="AB666" s="44">
        <v>0</v>
      </c>
      <c r="AC666" s="44">
        <v>0</v>
      </c>
      <c r="AD666" s="44">
        <v>0</v>
      </c>
      <c r="AE666" s="44">
        <f t="shared" ref="AE666:AE674" si="48">P666*2+Q666*2+R666*2+S666*1+T666*2+U666*2+V666*2+W666*2+X666*2+Y666*2+Z666*2+AA666*2+AB666*2+AC666*2+AD666*2</f>
        <v>0</v>
      </c>
      <c r="AF666" s="44">
        <v>29590</v>
      </c>
      <c r="AG666" s="45">
        <f t="shared" ref="AG666:AG674" si="49">AE666/AF666</f>
        <v>0</v>
      </c>
      <c r="AH666" s="1">
        <v>1</v>
      </c>
      <c r="AI666" s="1">
        <v>20</v>
      </c>
      <c r="AJ666" s="1">
        <v>31</v>
      </c>
    </row>
    <row r="667" s="2" customFormat="1" spans="1:36">
      <c r="A667" s="2" t="str">
        <f>VLOOKUP(B667,'[1]2. ISIC行业分类'!$A$2:$B$102,2,FALSE)</f>
        <v>C2100</v>
      </c>
      <c r="B667" s="18" t="s">
        <v>212</v>
      </c>
      <c r="C667" s="19">
        <v>2017</v>
      </c>
      <c r="D667" s="20">
        <v>0</v>
      </c>
      <c r="E667" s="20">
        <v>20.5385</v>
      </c>
      <c r="F667" s="17">
        <f t="shared" si="43"/>
        <v>0</v>
      </c>
      <c r="G667" s="20">
        <v>28.41693</v>
      </c>
      <c r="H667" s="20">
        <v>148.19303</v>
      </c>
      <c r="I667" s="28">
        <v>0.19175618448452</v>
      </c>
      <c r="J667" s="29">
        <v>8.18421</v>
      </c>
      <c r="K667" s="28">
        <v>0.0552266864372771</v>
      </c>
      <c r="L667" s="20">
        <v>-26.09383</v>
      </c>
      <c r="M667" s="28">
        <v>-0.176080008621188</v>
      </c>
      <c r="N667" s="30">
        <v>108</v>
      </c>
      <c r="O667" s="31" t="s">
        <v>203</v>
      </c>
      <c r="P667" s="44">
        <v>0</v>
      </c>
      <c r="Q667" s="44">
        <v>0</v>
      </c>
      <c r="R667" s="44">
        <v>0</v>
      </c>
      <c r="S667" s="44">
        <v>0</v>
      </c>
      <c r="T667" s="44">
        <v>0</v>
      </c>
      <c r="U667" s="44">
        <v>0</v>
      </c>
      <c r="V667" s="44">
        <v>0</v>
      </c>
      <c r="W667" s="44">
        <v>0</v>
      </c>
      <c r="X667" s="44">
        <v>0</v>
      </c>
      <c r="Y667" s="37">
        <v>0</v>
      </c>
      <c r="Z667" s="44">
        <v>0</v>
      </c>
      <c r="AA667" s="44">
        <v>0</v>
      </c>
      <c r="AB667" s="44">
        <v>0</v>
      </c>
      <c r="AC667" s="44">
        <v>0</v>
      </c>
      <c r="AD667" s="44">
        <v>0</v>
      </c>
      <c r="AE667" s="44">
        <f t="shared" si="48"/>
        <v>0</v>
      </c>
      <c r="AF667" s="44">
        <v>31273</v>
      </c>
      <c r="AG667" s="45">
        <f t="shared" si="49"/>
        <v>0</v>
      </c>
      <c r="AH667" s="1">
        <v>1</v>
      </c>
      <c r="AI667" s="1">
        <v>17</v>
      </c>
      <c r="AJ667" s="1">
        <v>18</v>
      </c>
    </row>
    <row r="668" s="2" customFormat="1" spans="1:36">
      <c r="A668" s="2" t="str">
        <f>VLOOKUP(B668,'[1]2. ISIC行业分类'!$A$2:$B$102,2,FALSE)</f>
        <v>C2100</v>
      </c>
      <c r="B668" s="18" t="s">
        <v>213</v>
      </c>
      <c r="C668" s="19">
        <v>2016</v>
      </c>
      <c r="D668" s="20">
        <v>12.7077</v>
      </c>
      <c r="E668" s="20">
        <v>7.10018</v>
      </c>
      <c r="F668" s="17">
        <f t="shared" si="43"/>
        <v>1.78977152691904</v>
      </c>
      <c r="G668" s="20">
        <v>7.22474</v>
      </c>
      <c r="H668" s="20">
        <v>59.73926</v>
      </c>
      <c r="I668" s="28">
        <v>0.120937889086674</v>
      </c>
      <c r="J668" s="29">
        <v>2.13554</v>
      </c>
      <c r="K668" s="28">
        <v>0.0357476808383633</v>
      </c>
      <c r="L668" s="20">
        <v>-16.08466</v>
      </c>
      <c r="M668" s="28">
        <v>-0.269247727541319</v>
      </c>
      <c r="N668" s="30">
        <v>23</v>
      </c>
      <c r="O668" s="31" t="s">
        <v>121</v>
      </c>
      <c r="P668" s="44">
        <v>0</v>
      </c>
      <c r="Q668" s="44">
        <v>0</v>
      </c>
      <c r="R668" s="44">
        <v>0</v>
      </c>
      <c r="S668" s="44">
        <v>0</v>
      </c>
      <c r="T668" s="44">
        <v>0</v>
      </c>
      <c r="U668" s="44">
        <v>0</v>
      </c>
      <c r="V668" s="44">
        <v>0</v>
      </c>
      <c r="W668" s="44">
        <v>0</v>
      </c>
      <c r="X668" s="44">
        <v>0</v>
      </c>
      <c r="Y668" s="37">
        <v>0</v>
      </c>
      <c r="Z668" s="44">
        <v>0</v>
      </c>
      <c r="AA668" s="44">
        <v>0</v>
      </c>
      <c r="AB668" s="44">
        <v>0</v>
      </c>
      <c r="AC668" s="44">
        <v>0</v>
      </c>
      <c r="AD668" s="44">
        <v>0</v>
      </c>
      <c r="AE668" s="44">
        <f t="shared" si="48"/>
        <v>0</v>
      </c>
      <c r="AF668" s="44">
        <v>20677</v>
      </c>
      <c r="AG668" s="45">
        <f t="shared" si="49"/>
        <v>0</v>
      </c>
      <c r="AH668" s="1">
        <v>1</v>
      </c>
      <c r="AI668" s="1">
        <v>68</v>
      </c>
      <c r="AJ668" s="1">
        <v>7</v>
      </c>
    </row>
    <row r="669" s="2" customFormat="1" spans="1:36">
      <c r="A669" s="2" t="str">
        <f>VLOOKUP(B669,'[1]2. ISIC行业分类'!$A$2:$B$102,2,FALSE)</f>
        <v>C2100</v>
      </c>
      <c r="B669" s="18" t="s">
        <v>213</v>
      </c>
      <c r="C669" s="19">
        <v>2017</v>
      </c>
      <c r="D669" s="20">
        <v>9.63617</v>
      </c>
      <c r="E669" s="20">
        <v>16.12392</v>
      </c>
      <c r="F669" s="17">
        <f t="shared" si="43"/>
        <v>0.597631965427762</v>
      </c>
      <c r="G669" s="20">
        <v>6.36768</v>
      </c>
      <c r="H669" s="20">
        <v>87.68492</v>
      </c>
      <c r="I669" s="28">
        <v>0.0726200126543994</v>
      </c>
      <c r="J669" s="29">
        <v>2.45437</v>
      </c>
      <c r="K669" s="28">
        <v>0.0279907879256775</v>
      </c>
      <c r="L669" s="20">
        <v>-6.34246</v>
      </c>
      <c r="M669" s="28">
        <v>-0.072332391932387</v>
      </c>
      <c r="N669" s="30">
        <v>23</v>
      </c>
      <c r="O669" s="31" t="s">
        <v>121</v>
      </c>
      <c r="P669" s="44">
        <v>0</v>
      </c>
      <c r="Q669" s="44">
        <v>0</v>
      </c>
      <c r="R669" s="44">
        <v>0</v>
      </c>
      <c r="S669" s="44">
        <v>0</v>
      </c>
      <c r="T669" s="44">
        <v>0</v>
      </c>
      <c r="U669" s="44">
        <v>0</v>
      </c>
      <c r="V669" s="44">
        <v>1</v>
      </c>
      <c r="W669" s="44">
        <v>0</v>
      </c>
      <c r="X669" s="44">
        <v>0</v>
      </c>
      <c r="Y669" s="37">
        <v>0</v>
      </c>
      <c r="Z669" s="44">
        <v>0</v>
      </c>
      <c r="AA669" s="44">
        <v>0</v>
      </c>
      <c r="AB669" s="44">
        <v>0</v>
      </c>
      <c r="AC669" s="44">
        <v>0</v>
      </c>
      <c r="AD669" s="44">
        <v>0</v>
      </c>
      <c r="AE669" s="44">
        <f t="shared" si="48"/>
        <v>2</v>
      </c>
      <c r="AF669" s="44">
        <v>21553</v>
      </c>
      <c r="AG669" s="45">
        <f t="shared" si="49"/>
        <v>9.27945065652113e-5</v>
      </c>
      <c r="AH669" s="2">
        <v>0</v>
      </c>
      <c r="AI669" s="2">
        <v>0</v>
      </c>
      <c r="AJ669" s="2">
        <v>0</v>
      </c>
    </row>
    <row r="670" s="2" customFormat="1" spans="1:36">
      <c r="A670" s="2" t="str">
        <f>VLOOKUP(B670,'[1]2. ISIC行业分类'!$A$2:$B$102,2,FALSE)</f>
        <v>C2100</v>
      </c>
      <c r="B670" s="18" t="s">
        <v>213</v>
      </c>
      <c r="C670" s="19">
        <v>2018</v>
      </c>
      <c r="D670" s="20">
        <v>11.26059</v>
      </c>
      <c r="E670" s="20">
        <v>4.60843</v>
      </c>
      <c r="F670" s="17">
        <f t="shared" si="43"/>
        <v>2.44347641170637</v>
      </c>
      <c r="G670" s="20">
        <v>5.91138</v>
      </c>
      <c r="H670" s="20">
        <v>68.6959</v>
      </c>
      <c r="I670" s="28">
        <v>0.0860514237385346</v>
      </c>
      <c r="J670" s="29">
        <v>0</v>
      </c>
      <c r="K670" s="28">
        <v>0</v>
      </c>
      <c r="L670" s="20">
        <v>-17.21434</v>
      </c>
      <c r="M670" s="28">
        <v>-0.250587589652366</v>
      </c>
      <c r="N670" s="30">
        <v>24</v>
      </c>
      <c r="O670" s="31" t="s">
        <v>121</v>
      </c>
      <c r="P670" s="44">
        <v>0</v>
      </c>
      <c r="Q670" s="44">
        <v>0</v>
      </c>
      <c r="R670" s="44">
        <v>0</v>
      </c>
      <c r="S670" s="44">
        <v>0</v>
      </c>
      <c r="T670" s="44">
        <v>0</v>
      </c>
      <c r="U670" s="44">
        <v>0</v>
      </c>
      <c r="V670" s="44">
        <v>0</v>
      </c>
      <c r="W670" s="44">
        <v>0</v>
      </c>
      <c r="X670" s="44">
        <v>0</v>
      </c>
      <c r="Y670" s="37">
        <v>0</v>
      </c>
      <c r="Z670" s="44">
        <v>0</v>
      </c>
      <c r="AA670" s="44">
        <v>0</v>
      </c>
      <c r="AB670" s="44">
        <v>0</v>
      </c>
      <c r="AC670" s="44">
        <v>0</v>
      </c>
      <c r="AD670" s="44">
        <v>0</v>
      </c>
      <c r="AE670" s="44">
        <f t="shared" si="48"/>
        <v>0</v>
      </c>
      <c r="AF670" s="44">
        <v>21224</v>
      </c>
      <c r="AG670" s="45">
        <f t="shared" si="49"/>
        <v>0</v>
      </c>
      <c r="AH670" s="2">
        <v>0</v>
      </c>
      <c r="AI670" s="2">
        <v>0</v>
      </c>
      <c r="AJ670" s="2">
        <v>0</v>
      </c>
    </row>
    <row r="671" s="2" customFormat="1" spans="1:36">
      <c r="A671" s="2" t="str">
        <f>VLOOKUP(B671,'[1]2. ISIC行业分类'!$A$2:$B$102,2,FALSE)</f>
        <v>C2100</v>
      </c>
      <c r="B671" s="18" t="s">
        <v>213</v>
      </c>
      <c r="C671" s="19">
        <v>2019</v>
      </c>
      <c r="D671" s="20">
        <v>19.57132</v>
      </c>
      <c r="E671" s="20">
        <v>7.8981</v>
      </c>
      <c r="F671" s="17">
        <f t="shared" si="43"/>
        <v>2.47797824793305</v>
      </c>
      <c r="G671" s="20">
        <v>26.36068</v>
      </c>
      <c r="H671" s="20">
        <v>67.65571</v>
      </c>
      <c r="I671" s="28">
        <v>0.389629788823442</v>
      </c>
      <c r="J671" s="29">
        <v>0</v>
      </c>
      <c r="K671" s="28">
        <v>0</v>
      </c>
      <c r="L671" s="20">
        <v>-22.67647</v>
      </c>
      <c r="M671" s="28">
        <v>-0.335174518159665</v>
      </c>
      <c r="N671" s="30">
        <v>26</v>
      </c>
      <c r="O671" s="31" t="s">
        <v>121</v>
      </c>
      <c r="P671" s="44">
        <v>0</v>
      </c>
      <c r="Q671" s="44">
        <v>0</v>
      </c>
      <c r="R671" s="44">
        <v>0</v>
      </c>
      <c r="S671" s="44">
        <v>0</v>
      </c>
      <c r="T671" s="44">
        <v>0</v>
      </c>
      <c r="U671" s="44">
        <v>0</v>
      </c>
      <c r="V671" s="44">
        <v>1</v>
      </c>
      <c r="W671" s="44">
        <v>0</v>
      </c>
      <c r="X671" s="44">
        <v>0</v>
      </c>
      <c r="Y671" s="37">
        <v>0</v>
      </c>
      <c r="Z671" s="44">
        <v>0</v>
      </c>
      <c r="AA671" s="44">
        <v>0</v>
      </c>
      <c r="AB671" s="44">
        <v>0</v>
      </c>
      <c r="AC671" s="44">
        <v>0</v>
      </c>
      <c r="AD671" s="44">
        <v>0</v>
      </c>
      <c r="AE671" s="44">
        <f t="shared" si="48"/>
        <v>2</v>
      </c>
      <c r="AF671" s="44">
        <v>23974</v>
      </c>
      <c r="AG671" s="45">
        <f t="shared" si="49"/>
        <v>8.34237090181029e-5</v>
      </c>
      <c r="AH671" s="1">
        <v>1</v>
      </c>
      <c r="AI671" s="1">
        <v>99</v>
      </c>
      <c r="AJ671" s="1">
        <v>9</v>
      </c>
    </row>
    <row r="672" s="2" customFormat="1" spans="1:36">
      <c r="A672" s="2" t="str">
        <f>VLOOKUP(B672,'[1]2. ISIC行业分类'!$A$2:$B$102,2,FALSE)</f>
        <v>K6419</v>
      </c>
      <c r="B672" s="18" t="s">
        <v>214</v>
      </c>
      <c r="C672" s="19">
        <v>2018</v>
      </c>
      <c r="D672" s="20">
        <v>0</v>
      </c>
      <c r="E672" s="20">
        <v>30503</v>
      </c>
      <c r="F672" s="17">
        <f t="shared" ref="F672:F680" si="50">D672/E672</f>
        <v>0</v>
      </c>
      <c r="G672" s="20">
        <v>905385</v>
      </c>
      <c r="H672" s="20">
        <v>958489</v>
      </c>
      <c r="I672" s="28">
        <v>0.94459612995037</v>
      </c>
      <c r="J672" s="29">
        <v>14324</v>
      </c>
      <c r="K672" s="28">
        <v>0.0149443551256196</v>
      </c>
      <c r="L672" s="20">
        <v>4516</v>
      </c>
      <c r="M672" s="28">
        <v>0.00471158250120763</v>
      </c>
      <c r="N672" s="30">
        <v>66888</v>
      </c>
      <c r="O672" s="31" t="s">
        <v>87</v>
      </c>
      <c r="P672" s="44">
        <v>9</v>
      </c>
      <c r="Q672" s="44">
        <v>2</v>
      </c>
      <c r="R672" s="44">
        <v>0</v>
      </c>
      <c r="S672" s="44">
        <v>5</v>
      </c>
      <c r="T672" s="44">
        <v>0</v>
      </c>
      <c r="U672" s="44">
        <v>4</v>
      </c>
      <c r="V672" s="44">
        <v>1</v>
      </c>
      <c r="W672" s="44">
        <v>1</v>
      </c>
      <c r="X672" s="44">
        <v>0</v>
      </c>
      <c r="Y672" s="37">
        <v>0</v>
      </c>
      <c r="Z672" s="44">
        <v>0</v>
      </c>
      <c r="AA672" s="44">
        <v>0</v>
      </c>
      <c r="AB672" s="44">
        <v>0</v>
      </c>
      <c r="AC672" s="44">
        <v>0</v>
      </c>
      <c r="AD672" s="44">
        <v>0</v>
      </c>
      <c r="AE672" s="44">
        <f t="shared" si="48"/>
        <v>39</v>
      </c>
      <c r="AF672" s="44">
        <v>220409</v>
      </c>
      <c r="AG672" s="45">
        <f t="shared" si="49"/>
        <v>0.000176943772713455</v>
      </c>
      <c r="AH672" s="1">
        <v>2</v>
      </c>
      <c r="AI672" s="1">
        <v>47</v>
      </c>
      <c r="AJ672" s="1">
        <v>20</v>
      </c>
    </row>
    <row r="673" s="2" customFormat="1" spans="1:36">
      <c r="A673" s="2" t="str">
        <f>VLOOKUP(B673,'[1]2. ISIC行业分类'!$A$2:$B$102,2,FALSE)</f>
        <v>K6419</v>
      </c>
      <c r="B673" s="18" t="s">
        <v>214</v>
      </c>
      <c r="C673" s="19">
        <v>2019</v>
      </c>
      <c r="D673" s="20">
        <v>0</v>
      </c>
      <c r="E673" s="20">
        <v>28927</v>
      </c>
      <c r="F673" s="17">
        <f t="shared" si="50"/>
        <v>0</v>
      </c>
      <c r="G673" s="20">
        <v>917519</v>
      </c>
      <c r="H673" s="20">
        <v>972194</v>
      </c>
      <c r="I673" s="28">
        <v>0.943761224611549</v>
      </c>
      <c r="J673" s="29">
        <v>17771</v>
      </c>
      <c r="K673" s="28">
        <v>0.0182792734783387</v>
      </c>
      <c r="L673" s="20">
        <v>4304</v>
      </c>
      <c r="M673" s="28">
        <v>0.00442709994095829</v>
      </c>
      <c r="N673" s="30">
        <v>68601</v>
      </c>
      <c r="O673" s="31" t="s">
        <v>87</v>
      </c>
      <c r="P673" s="44">
        <v>6</v>
      </c>
      <c r="Q673" s="44">
        <v>4</v>
      </c>
      <c r="R673" s="44">
        <v>0</v>
      </c>
      <c r="S673" s="44">
        <v>0</v>
      </c>
      <c r="T673" s="44">
        <v>2</v>
      </c>
      <c r="U673" s="44">
        <v>4</v>
      </c>
      <c r="V673" s="44">
        <v>2</v>
      </c>
      <c r="W673" s="44">
        <v>1</v>
      </c>
      <c r="X673" s="44">
        <v>0</v>
      </c>
      <c r="Y673" s="37">
        <v>0</v>
      </c>
      <c r="Z673" s="44">
        <v>0</v>
      </c>
      <c r="AA673" s="44">
        <v>0</v>
      </c>
      <c r="AB673" s="44">
        <v>0</v>
      </c>
      <c r="AC673" s="44">
        <v>0</v>
      </c>
      <c r="AD673" s="44">
        <v>2</v>
      </c>
      <c r="AE673" s="44">
        <f t="shared" si="48"/>
        <v>42</v>
      </c>
      <c r="AF673" s="44">
        <v>214970</v>
      </c>
      <c r="AG673" s="45">
        <f t="shared" si="49"/>
        <v>0.000195376098990557</v>
      </c>
      <c r="AH673" s="2">
        <v>0</v>
      </c>
      <c r="AI673" s="2">
        <v>0</v>
      </c>
      <c r="AJ673" s="2">
        <v>0</v>
      </c>
    </row>
    <row r="674" s="2" customFormat="1" spans="1:36">
      <c r="A674" s="2" t="str">
        <f>VLOOKUP(B674,'[1]2. ISIC行业分类'!$A$2:$B$102,2,FALSE)</f>
        <v>K6419</v>
      </c>
      <c r="B674" s="18" t="s">
        <v>214</v>
      </c>
      <c r="C674" s="19">
        <v>2020</v>
      </c>
      <c r="D674" s="20">
        <v>0</v>
      </c>
      <c r="E674" s="20">
        <v>32386</v>
      </c>
      <c r="F674" s="17">
        <f t="shared" si="50"/>
        <v>0</v>
      </c>
      <c r="G674" s="20">
        <v>1066001</v>
      </c>
      <c r="H674" s="20">
        <v>1125765</v>
      </c>
      <c r="I674" s="28">
        <v>0.946912543914583</v>
      </c>
      <c r="J674" s="29">
        <v>18470</v>
      </c>
      <c r="K674" s="28">
        <v>0.0164066212753106</v>
      </c>
      <c r="L674" s="20">
        <v>6557</v>
      </c>
      <c r="M674" s="28">
        <v>0.00582448379546353</v>
      </c>
      <c r="N674" s="30">
        <v>71551</v>
      </c>
      <c r="O674" s="31" t="s">
        <v>87</v>
      </c>
      <c r="P674" s="44">
        <v>0</v>
      </c>
      <c r="Q674" s="44">
        <v>0</v>
      </c>
      <c r="R674" s="44">
        <v>0</v>
      </c>
      <c r="S674" s="44">
        <v>0</v>
      </c>
      <c r="T674" s="44">
        <v>0</v>
      </c>
      <c r="U674" s="44">
        <v>0</v>
      </c>
      <c r="V674" s="44">
        <v>0</v>
      </c>
      <c r="W674" s="44">
        <v>0</v>
      </c>
      <c r="X674" s="44">
        <v>0</v>
      </c>
      <c r="Y674" s="37">
        <v>0</v>
      </c>
      <c r="Z674" s="44">
        <v>0</v>
      </c>
      <c r="AA674" s="44">
        <v>0</v>
      </c>
      <c r="AB674" s="44">
        <v>0</v>
      </c>
      <c r="AC674" s="44">
        <v>0</v>
      </c>
      <c r="AD674" s="44">
        <v>0</v>
      </c>
      <c r="AE674" s="44">
        <f t="shared" si="48"/>
        <v>0</v>
      </c>
      <c r="AF674" s="44">
        <v>178</v>
      </c>
      <c r="AG674" s="45">
        <f t="shared" si="49"/>
        <v>0</v>
      </c>
      <c r="AH674" s="1">
        <v>1</v>
      </c>
      <c r="AI674" s="1">
        <v>16</v>
      </c>
      <c r="AJ674" s="1">
        <v>4</v>
      </c>
    </row>
    <row r="675" s="2" customFormat="1" spans="1:36">
      <c r="A675" s="2" t="str">
        <f>VLOOKUP(B675,'[1]2. ISIC行业分类'!$A$2:$B$102,2,FALSE)</f>
        <v>C7210</v>
      </c>
      <c r="B675" s="18" t="s">
        <v>215</v>
      </c>
      <c r="C675" s="19">
        <v>2014</v>
      </c>
      <c r="D675" s="20">
        <v>0</v>
      </c>
      <c r="E675" s="20">
        <v>0</v>
      </c>
      <c r="F675" s="17" t="e">
        <f t="shared" si="50"/>
        <v>#DIV/0!</v>
      </c>
      <c r="G675" s="20">
        <v>0</v>
      </c>
      <c r="H675" s="20">
        <v>0</v>
      </c>
      <c r="I675" s="28" t="e">
        <v>#DIV/0!</v>
      </c>
      <c r="J675" s="29">
        <v>0</v>
      </c>
      <c r="K675" s="28" t="e">
        <v>#DIV/0!</v>
      </c>
      <c r="L675" s="20">
        <v>0</v>
      </c>
      <c r="M675" s="28" t="e">
        <v>#DIV/0!</v>
      </c>
      <c r="N675" s="30">
        <v>0</v>
      </c>
      <c r="O675" s="31" t="s">
        <v>43</v>
      </c>
      <c r="AH675" s="1">
        <v>1</v>
      </c>
      <c r="AI675" s="1">
        <v>14</v>
      </c>
      <c r="AJ675" s="1">
        <v>70</v>
      </c>
    </row>
    <row r="676" s="2" customFormat="1" spans="1:36">
      <c r="A676" s="2" t="str">
        <f>VLOOKUP(B676,'[1]2. ISIC行业分类'!$A$2:$B$102,2,FALSE)</f>
        <v>C7210</v>
      </c>
      <c r="B676" s="18" t="s">
        <v>215</v>
      </c>
      <c r="C676" s="19">
        <v>2015</v>
      </c>
      <c r="D676" s="20">
        <v>0</v>
      </c>
      <c r="E676" s="20">
        <v>0</v>
      </c>
      <c r="F676" s="17" t="e">
        <f t="shared" si="50"/>
        <v>#DIV/0!</v>
      </c>
      <c r="G676" s="20">
        <v>0</v>
      </c>
      <c r="H676" s="20">
        <v>0</v>
      </c>
      <c r="I676" s="28" t="e">
        <v>#DIV/0!</v>
      </c>
      <c r="J676" s="29">
        <v>0</v>
      </c>
      <c r="K676" s="28" t="e">
        <v>#DIV/0!</v>
      </c>
      <c r="L676" s="20">
        <v>0</v>
      </c>
      <c r="M676" s="28" t="e">
        <v>#DIV/0!</v>
      </c>
      <c r="N676" s="30">
        <v>0</v>
      </c>
      <c r="O676" s="31" t="s">
        <v>43</v>
      </c>
      <c r="AH676" s="1">
        <v>1</v>
      </c>
      <c r="AI676" s="1">
        <v>10</v>
      </c>
      <c r="AJ676" s="1">
        <v>2</v>
      </c>
    </row>
    <row r="677" s="2" customFormat="1" spans="1:36">
      <c r="A677" s="2" t="str">
        <f>VLOOKUP(B677,'[1]2. ISIC行业分类'!$A$2:$B$102,2,FALSE)</f>
        <v>C7210</v>
      </c>
      <c r="B677" s="18" t="s">
        <v>215</v>
      </c>
      <c r="C677" s="19">
        <v>2016</v>
      </c>
      <c r="D677" s="20">
        <v>0</v>
      </c>
      <c r="E677" s="20">
        <v>0</v>
      </c>
      <c r="F677" s="17" t="e">
        <f t="shared" si="50"/>
        <v>#DIV/0!</v>
      </c>
      <c r="G677" s="20">
        <v>0</v>
      </c>
      <c r="H677" s="20">
        <v>0</v>
      </c>
      <c r="I677" s="28" t="e">
        <v>#DIV/0!</v>
      </c>
      <c r="J677" s="29">
        <v>0</v>
      </c>
      <c r="K677" s="28" t="e">
        <v>#DIV/0!</v>
      </c>
      <c r="L677" s="20">
        <v>0</v>
      </c>
      <c r="M677" s="28" t="e">
        <v>#DIV/0!</v>
      </c>
      <c r="N677" s="30">
        <v>0</v>
      </c>
      <c r="O677" s="31" t="s">
        <v>43</v>
      </c>
      <c r="AH677" s="2">
        <v>0</v>
      </c>
      <c r="AI677" s="2">
        <v>0</v>
      </c>
      <c r="AJ677" s="2">
        <v>0</v>
      </c>
    </row>
    <row r="678" s="2" customFormat="1" spans="1:36">
      <c r="A678" s="2" t="str">
        <f>VLOOKUP(B678,'[1]2. ISIC行业分类'!$A$2:$B$102,2,FALSE)</f>
        <v>C7210</v>
      </c>
      <c r="B678" s="18" t="s">
        <v>215</v>
      </c>
      <c r="C678" s="19">
        <v>2017</v>
      </c>
      <c r="D678" s="20">
        <v>0</v>
      </c>
      <c r="E678" s="20">
        <v>0</v>
      </c>
      <c r="F678" s="17" t="e">
        <f t="shared" si="50"/>
        <v>#DIV/0!</v>
      </c>
      <c r="G678" s="20">
        <v>0</v>
      </c>
      <c r="H678" s="20">
        <v>0</v>
      </c>
      <c r="I678" s="28" t="e">
        <v>#DIV/0!</v>
      </c>
      <c r="J678" s="29">
        <v>0</v>
      </c>
      <c r="K678" s="28" t="e">
        <v>#DIV/0!</v>
      </c>
      <c r="L678" s="20">
        <v>0</v>
      </c>
      <c r="M678" s="28" t="e">
        <v>#DIV/0!</v>
      </c>
      <c r="N678" s="30">
        <v>0</v>
      </c>
      <c r="O678" s="31" t="s">
        <v>43</v>
      </c>
      <c r="AH678" s="1">
        <v>1</v>
      </c>
      <c r="AI678" s="1">
        <v>7</v>
      </c>
      <c r="AJ678" s="1">
        <v>5</v>
      </c>
    </row>
    <row r="679" s="2" customFormat="1" spans="1:36">
      <c r="A679" s="2" t="str">
        <f>VLOOKUP(B679,'[1]2. ISIC行业分类'!$A$2:$B$102,2,FALSE)</f>
        <v>C7210</v>
      </c>
      <c r="B679" s="18" t="s">
        <v>215</v>
      </c>
      <c r="C679" s="19">
        <v>2018</v>
      </c>
      <c r="D679" s="20">
        <v>0</v>
      </c>
      <c r="E679" s="20">
        <v>0</v>
      </c>
      <c r="F679" s="17" t="e">
        <f t="shared" si="50"/>
        <v>#DIV/0!</v>
      </c>
      <c r="G679" s="20">
        <v>0</v>
      </c>
      <c r="H679" s="20">
        <v>0</v>
      </c>
      <c r="I679" s="28" t="e">
        <v>#DIV/0!</v>
      </c>
      <c r="J679" s="29">
        <v>0</v>
      </c>
      <c r="K679" s="28" t="e">
        <v>#DIV/0!</v>
      </c>
      <c r="L679" s="20">
        <v>0</v>
      </c>
      <c r="M679" s="28" t="e">
        <v>#DIV/0!</v>
      </c>
      <c r="N679" s="30">
        <v>0</v>
      </c>
      <c r="O679" s="31" t="s">
        <v>43</v>
      </c>
      <c r="AH679" s="2">
        <v>0</v>
      </c>
      <c r="AI679" s="2">
        <v>0</v>
      </c>
      <c r="AJ679" s="2">
        <v>0</v>
      </c>
    </row>
    <row r="680" s="2" customFormat="1" spans="1:36">
      <c r="A680" s="2" t="str">
        <f>VLOOKUP(B680,'[1]2. ISIC行业分类'!$A$2:$B$102,2,FALSE)</f>
        <v>C7210</v>
      </c>
      <c r="B680" s="18" t="s">
        <v>215</v>
      </c>
      <c r="C680" s="19">
        <v>2019</v>
      </c>
      <c r="D680" s="20">
        <v>0</v>
      </c>
      <c r="E680" s="20">
        <v>0.53158</v>
      </c>
      <c r="F680" s="17">
        <f t="shared" si="50"/>
        <v>0</v>
      </c>
      <c r="G680" s="20">
        <v>58.62969</v>
      </c>
      <c r="H680" s="20">
        <v>159.03032</v>
      </c>
      <c r="I680" s="28">
        <v>0.368669886346201</v>
      </c>
      <c r="J680" s="29">
        <v>0.30039</v>
      </c>
      <c r="K680" s="28">
        <v>0.00188888508807629</v>
      </c>
      <c r="L680" s="20">
        <v>1.08434</v>
      </c>
      <c r="M680" s="28">
        <v>0.00681844820534852</v>
      </c>
      <c r="N680" s="30">
        <v>0</v>
      </c>
      <c r="O680" s="31" t="s">
        <v>43</v>
      </c>
      <c r="AH680" s="1">
        <v>1</v>
      </c>
      <c r="AI680" s="1">
        <v>15</v>
      </c>
      <c r="AJ680" s="1">
        <v>17</v>
      </c>
    </row>
  </sheetData>
  <autoFilter xmlns:etc="http://www.wps.cn/officeDocument/2017/etCustomData" ref="A1:AM680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Moreau</dc:creator>
  <cp:lastModifiedBy>moreau</cp:lastModifiedBy>
  <dcterms:created xsi:type="dcterms:W3CDTF">2023-05-12T11:15:00Z</dcterms:created>
  <dcterms:modified xsi:type="dcterms:W3CDTF">2025-01-18T08:02:09Z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40AA88A7F24F4BCCA58EA6FBE9364673_12</vt:lpwstr>
  </property>
</Properties>
</file>