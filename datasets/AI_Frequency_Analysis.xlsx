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0" windowHeight="11120"/>
  </bookViews>
  <sheets>
    <sheet name="Sheet1" sheetId="1" r:id="rId1"/>
  </sheets>
  <definedNames>
    <definedName name="_xlnm._FilterDatabase" localSheetId="0" hidden="1">Sheet1!$A$1:$U$928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<sst xmlns="http://schemas.openxmlformats.org/spreadsheetml/2006/main" count="2743" uniqueCount="968">
  <si>
    <t>company</t>
  </si>
  <si>
    <t>year</t>
  </si>
  <si>
    <t>artificial intelligence_occurrences</t>
  </si>
  <si>
    <t>machine learning_occurrences</t>
  </si>
  <si>
    <t>deep learning_occurrences</t>
  </si>
  <si>
    <t>ai_occurrences</t>
  </si>
  <si>
    <t>big data_occurrences</t>
  </si>
  <si>
    <t>data driven_occurrences</t>
  </si>
  <si>
    <t>data analytics_occurrences</t>
  </si>
  <si>
    <t>data analysis_occurrences</t>
  </si>
  <si>
    <t>business analytics_occurrences</t>
  </si>
  <si>
    <t>business analysis_occurrences</t>
  </si>
  <si>
    <t>intelligent automation_occurrences</t>
  </si>
  <si>
    <t>computer vision_occurrences</t>
  </si>
  <si>
    <t>predictive analytics_occurrences</t>
  </si>
  <si>
    <t>predictive analysis_occurrences</t>
  </si>
  <si>
    <t>robotics_occurrences</t>
  </si>
  <si>
    <t>Total keywords occurrences</t>
  </si>
  <si>
    <t>Total words</t>
  </si>
  <si>
    <t>ai_frequency</t>
  </si>
  <si>
    <t>3M Company</t>
  </si>
  <si>
    <t>2018 Annual Report</t>
  </si>
  <si>
    <t>2018</t>
  </si>
  <si>
    <t>2019 Annual Report</t>
  </si>
  <si>
    <t>2019</t>
  </si>
  <si>
    <t>2019 Proxy Statement</t>
  </si>
  <si>
    <t>2020 Annual Report</t>
  </si>
  <si>
    <t>2020</t>
  </si>
  <si>
    <t>2020 Proxy Statement</t>
  </si>
  <si>
    <t>2021 Annual Report</t>
  </si>
  <si>
    <t>2021</t>
  </si>
  <si>
    <t>2021 Proxy Statement</t>
  </si>
  <si>
    <t>2022 Annual Report</t>
  </si>
  <si>
    <t>2022</t>
  </si>
  <si>
    <t>2022 Proxy Statement</t>
  </si>
  <si>
    <t>2023 Annual Report</t>
  </si>
  <si>
    <t>2023</t>
  </si>
  <si>
    <t>2023 Proxy Statement</t>
  </si>
  <si>
    <t>2024 Proxy Statement</t>
  </si>
  <si>
    <t>2024</t>
  </si>
  <si>
    <t>View 2014 Annual Report (PDF)</t>
  </si>
  <si>
    <t>2014</t>
  </si>
  <si>
    <t>View 2015 Annual Report (PDF)</t>
  </si>
  <si>
    <t>2015</t>
  </si>
  <si>
    <t>View 2016 Annual Report (PDF)</t>
  </si>
  <si>
    <t>2016</t>
  </si>
  <si>
    <t>View 2017 Annual Report (PDF)</t>
  </si>
  <si>
    <t>2017</t>
  </si>
  <si>
    <t>ABB Ltd</t>
  </si>
  <si>
    <t>ABB+India+-+Annual+Report+2022</t>
  </si>
  <si>
    <t>Annual Report 2020</t>
  </si>
  <si>
    <t>Annual Report 2023</t>
  </si>
  <si>
    <t>Annual+report+2018+_+low+res</t>
  </si>
  <si>
    <t>Annual+Report+2019_low+res</t>
  </si>
  <si>
    <t>Annual+Report+2021</t>
  </si>
  <si>
    <t>annual-report-2014_abb-india-limited</t>
  </si>
  <si>
    <t>annual-report-2016_low-res</t>
  </si>
  <si>
    <t>annual-report-2017_low-res</t>
  </si>
  <si>
    <t>annual-report_-2015</t>
  </si>
  <si>
    <t>Abbott Laboratories</t>
  </si>
  <si>
    <t>NYSE_ABT_2014</t>
  </si>
  <si>
    <t>NYSE_ABT_2015</t>
  </si>
  <si>
    <t>NYSE_ABT_2016</t>
  </si>
  <si>
    <t>NYSE_ABT_2017</t>
  </si>
  <si>
    <t>NYSE_ABT_2018</t>
  </si>
  <si>
    <t>NYSE_ABT_2019</t>
  </si>
  <si>
    <t>NYSE_ABT_2020</t>
  </si>
  <si>
    <t>Adval Tech Holding AG</t>
  </si>
  <si>
    <t>at_gb_2014_en_web</t>
  </si>
  <si>
    <t>at_gb_2015_en_web</t>
  </si>
  <si>
    <t>at_gb_2016_en_web</t>
  </si>
  <si>
    <t>at_gb_2017_en_web</t>
  </si>
  <si>
    <t>at_gb_2018_en_web</t>
  </si>
  <si>
    <t>at_gb_2019_en_web</t>
  </si>
  <si>
    <t>at_gb_2020_en_web</t>
  </si>
  <si>
    <t>at_gb_2021_en_web</t>
  </si>
  <si>
    <t>at_gb_2022_en_web</t>
  </si>
  <si>
    <t>at_gb_2023_en</t>
  </si>
  <si>
    <t>Alcon Inc</t>
  </si>
  <si>
    <t>2023-Annual-Report</t>
  </si>
  <si>
    <t>ALC-Annual-Report-2019</t>
  </si>
  <si>
    <t>Alcon-2020-Swiss-Annual-Report</t>
  </si>
  <si>
    <t>Alcon-2021-Annual-Report</t>
  </si>
  <si>
    <t>Alcon-2022-Annual-Report</t>
  </si>
  <si>
    <t>ams-OSRAM AG</t>
  </si>
  <si>
    <t>ams AG Annual Report 2019</t>
  </si>
  <si>
    <t>ams annual report 2017 complete</t>
  </si>
  <si>
    <t>ams Annual Report 2018 complete</t>
  </si>
  <si>
    <t>ams OSRAM EN Annual Report 2023</t>
  </si>
  <si>
    <t>ams OSRAM ENG Annual Report 2021</t>
  </si>
  <si>
    <t>ams OSRAM ENG Annual Report 2022</t>
  </si>
  <si>
    <t>ams_Annual_Report_2014_Full_27042015</t>
  </si>
  <si>
    <t>ams_Annual_Report_2015_Full_25042016</t>
  </si>
  <si>
    <t>Annual Report ams 2016 complete 240417 f</t>
  </si>
  <si>
    <t>ENG Geschäftsbericht ams 2020 DS</t>
  </si>
  <si>
    <t>Arbonia AG</t>
  </si>
  <si>
    <t>Annual Report 2015</t>
  </si>
  <si>
    <t>Annual Report 2016</t>
  </si>
  <si>
    <t>Annual Report 2017</t>
  </si>
  <si>
    <t>Annual Report 2018</t>
  </si>
  <si>
    <t>Annual Report 2019</t>
  </si>
  <si>
    <t>Annual Report 2021</t>
  </si>
  <si>
    <t>Annual Report 2022</t>
  </si>
  <si>
    <t>Autoneum Holding AG</t>
  </si>
  <si>
    <t>Annual Report 2014 (English, 5</t>
  </si>
  <si>
    <t>Annual Report 2015 (English, 10</t>
  </si>
  <si>
    <t>Annual Report 2016 (English, 12</t>
  </si>
  <si>
    <t>Annual Report 2017 (English, 8</t>
  </si>
  <si>
    <t>Annual Report 2018 (English, 8 MB) ¦ PDF</t>
  </si>
  <si>
    <t>Annual Report 2019 (English, 11 MB) ¦ PDF</t>
  </si>
  <si>
    <t>Annual Report 2020 (English, 8 MB) ¦ PDF</t>
  </si>
  <si>
    <t>Annual Report 2021 (English, 7 MB) ¦ PDF</t>
  </si>
  <si>
    <t>Annual Report 2022 (English, 4 MB) ¦ PDF</t>
  </si>
  <si>
    <t>Annual Report 2023 (English, 6 MB) ¦ PDF</t>
  </si>
  <si>
    <t>Bachem Holding AG</t>
  </si>
  <si>
    <t>Annual-Report-2020_EN</t>
  </si>
  <si>
    <t>Bachem-Annual-report-2014-EN</t>
  </si>
  <si>
    <t>Bachem-Annual-report-2015-EN</t>
  </si>
  <si>
    <t>Bachem-Annual-report-2016-EN</t>
  </si>
  <si>
    <t>Bachem-Annual-report-2017-EN</t>
  </si>
  <si>
    <t>Bachem-Annual-report-2018-EN</t>
  </si>
  <si>
    <t>Bachem-Annual-report-2019-EN</t>
  </si>
  <si>
    <t>Bachem-Annual-Report-2021-EN</t>
  </si>
  <si>
    <t>Bachem-Annual-Report-2022-EN</t>
  </si>
  <si>
    <t>Bachem_AR23_EN</t>
  </si>
  <si>
    <t>BELIMO Holding AG</t>
  </si>
  <si>
    <t>belimo-holding-ag_2014</t>
  </si>
  <si>
    <t>belimo-holding-ag_2015</t>
  </si>
  <si>
    <t>belimo-holding-ag_2016</t>
  </si>
  <si>
    <t>belimo-holding-ag_2017</t>
  </si>
  <si>
    <t>belimo-holding-ag_2018</t>
  </si>
  <si>
    <t>belimo-holding-ag_2019</t>
  </si>
  <si>
    <t>belimo-holding-ag_2020</t>
  </si>
  <si>
    <t>belimo-holding-ag_2021</t>
  </si>
  <si>
    <t>belimo-holding-ag_2022</t>
  </si>
  <si>
    <t>belimo-holding-ag_2023</t>
  </si>
  <si>
    <t>BKW AG</t>
  </si>
  <si>
    <t>Annual_Report_14_ENG</t>
  </si>
  <si>
    <t>Annual_Report_2018</t>
  </si>
  <si>
    <t>BKW_Geschaeftsbericht_2019_EN</t>
  </si>
  <si>
    <t>BKW_Gescha__ftsbericht_2015_Deutsch</t>
  </si>
  <si>
    <t>BKW_Gescha__ftsbericht_2016_Deutsch</t>
  </si>
  <si>
    <t>BKW_Gescha__ftsbericht_2017_Deutsch</t>
  </si>
  <si>
    <t>Geschaeftsbericht_2020_Englisch_WebPDF</t>
  </si>
  <si>
    <t>Geschaeftsbericht_2021_Englisch_Web</t>
  </si>
  <si>
    <t>Geschaeftsbericht_2022_Englisch</t>
  </si>
  <si>
    <t>Geschaeftsbericht_2023_Englisch</t>
  </si>
  <si>
    <t>Bossard Holding AG</t>
  </si>
  <si>
    <t>Annual-Report-2017</t>
  </si>
  <si>
    <t>Annual-Report-2018</t>
  </si>
  <si>
    <t>Bossard Annual Report 2023</t>
  </si>
  <si>
    <t>Bossard Holding AG Annual Report 2022</t>
  </si>
  <si>
    <t>Bossard-Annual-Report-2016</t>
  </si>
  <si>
    <t>Bossard_Annual-Report-2014</t>
  </si>
  <si>
    <t>Bossard_Annual_Report-2015</t>
  </si>
  <si>
    <t>Bossard_Annual_Report_2020_EN</t>
  </si>
  <si>
    <t>Bossard_Annual_Report_2021</t>
  </si>
  <si>
    <t>Bucher Industries AG</t>
  </si>
  <si>
    <t>2014_01_Bucher_AR_</t>
  </si>
  <si>
    <t>2015_01_Bucher_AR</t>
  </si>
  <si>
    <t>2016_01_Bucher_AR</t>
  </si>
  <si>
    <t>2017_01_Bucher_AR</t>
  </si>
  <si>
    <t>2018_01_Bucher_Annual-report_2018_EN</t>
  </si>
  <si>
    <t>2019_01_Bucher_Annual-report_2019_EN</t>
  </si>
  <si>
    <t>2020_01_Bucher_Annual-report_2020_EN</t>
  </si>
  <si>
    <t>2021_01_Bucher_Annual-report_2021_EN</t>
  </si>
  <si>
    <t>2022_01_Bucher_annual-report_2022_EN</t>
  </si>
  <si>
    <t>2023_01_Bucher_Annual-report_2023_EN</t>
  </si>
  <si>
    <t>Burckhardt Compression Holding AG</t>
  </si>
  <si>
    <t>01_BCH_GB2020_AnnualReport_E_WEB</t>
  </si>
  <si>
    <t>150604_BC_GB2014_E_Web</t>
  </si>
  <si>
    <t>180529_Annual-Report-2017</t>
  </si>
  <si>
    <t>190528_AnnualReport2018</t>
  </si>
  <si>
    <t>200602_AnnualReport2019</t>
  </si>
  <si>
    <t>2015_annual_report_Burckhardt_Compression_e</t>
  </si>
  <si>
    <t>2016_annual_report_Burckhardt-Compression_e</t>
  </si>
  <si>
    <t>Burckhardt-Compression_GB2023_EN_web_new</t>
  </si>
  <si>
    <t>Burckhardt-Compression_GB_2022_EN_V2</t>
  </si>
  <si>
    <t>Burckhardt_Compression_Annual_Report_2022_EN</t>
  </si>
  <si>
    <t>Bystronic AG</t>
  </si>
  <si>
    <t>230301_Bystronic_Geschaeftsbericht_2022_en_print</t>
  </si>
  <si>
    <t>Annual-Report-2023</t>
  </si>
  <si>
    <t>Annual_Report_2016</t>
  </si>
  <si>
    <t>Annual_Report_2017</t>
  </si>
  <si>
    <t>Annual_Report_2019</t>
  </si>
  <si>
    <t>Annual_Report_2020</t>
  </si>
  <si>
    <t>Annual_Report_2021</t>
  </si>
  <si>
    <t>Caterpillar Inc</t>
  </si>
  <si>
    <t>Clariant AG</t>
  </si>
  <si>
    <t>01_clariant_business_report_2021</t>
  </si>
  <si>
    <t>02_clariant_review_on_performance_people_planet_2021</t>
  </si>
  <si>
    <t>03_clariant_corporate_governance_report_2021</t>
  </si>
  <si>
    <t>04_clariant_compensation_report_2021</t>
  </si>
  <si>
    <t>05_clariant_financial_report_2021</t>
  </si>
  <si>
    <t>Clariant File Integrated Report 2023 EN</t>
  </si>
  <si>
    <t>clariant_integrated_report_2019_en</t>
  </si>
  <si>
    <t>clariant_integrated_report_2020_en</t>
  </si>
  <si>
    <t>clariant_integrated_report_gri_report_2021</t>
  </si>
  <si>
    <t>entire_clariant_ar2015</t>
  </si>
  <si>
    <t>entire_clariant_ar2016</t>
  </si>
  <si>
    <t>integrated_report_clariant_ar2017</t>
  </si>
  <si>
    <t>integrated_report_clariant_ar2018</t>
  </si>
  <si>
    <t>Comet Holding AG</t>
  </si>
  <si>
    <t>Annual_report_complete_2017EN</t>
  </si>
  <si>
    <t>Annual_report_complete_2018</t>
  </si>
  <si>
    <t>Comet-Annual-Report-2022-en</t>
  </si>
  <si>
    <t>Comet_Annual-Report-2023_en</t>
  </si>
  <si>
    <t>COMET_AnnualReport_2015_en</t>
  </si>
  <si>
    <t>Comet_Annual_Report_2021_en</t>
  </si>
  <si>
    <t>Comet_AR19_1</t>
  </si>
  <si>
    <t>Comet_GB14_en</t>
  </si>
  <si>
    <t>COMET_Jahrebericht_2016_en</t>
  </si>
  <si>
    <t>Geschaftsbericht-2020-en</t>
  </si>
  <si>
    <t>Compagnie de Saint-Gobain</t>
  </si>
  <si>
    <t>2023 - RI  SAINT-GOBAIN - VA_050424</t>
  </si>
  <si>
    <t>sg-plaquette-2014-en_01</t>
  </si>
  <si>
    <t>Compagnie Financière Richemont SA</t>
  </si>
  <si>
    <t>annual-report-2014</t>
  </si>
  <si>
    <t>ERROR</t>
  </si>
  <si>
    <t>annual-report-2015</t>
  </si>
  <si>
    <t>annual-report-2016</t>
  </si>
  <si>
    <t>annual-report-2017</t>
  </si>
  <si>
    <t>annual-report-2018</t>
  </si>
  <si>
    <t>annual-report-2019</t>
  </si>
  <si>
    <t>rar-2020_27may</t>
  </si>
  <si>
    <t>richemont-annual-report-2021-for-web</t>
  </si>
  <si>
    <t>richemont-fy22-annual-report-en-2</t>
  </si>
  <si>
    <t>richemont-fy23-annual-report-en</t>
  </si>
  <si>
    <t>dormakaba Holding AG</t>
  </si>
  <si>
    <t>Annual-Report-2018-_-2019_en</t>
  </si>
  <si>
    <t>Annual-Report-2019-_-2020_en</t>
  </si>
  <si>
    <t>Annual-Report-2023-_-2024-en</t>
  </si>
  <si>
    <t>Annual_Report_2020___2021</t>
  </si>
  <si>
    <t>dormakaba_Annual_Report_2021_2022</t>
  </si>
  <si>
    <t>dormakaba_Annual_Report_2022_23_final</t>
  </si>
  <si>
    <t>Eli Lilly and Company</t>
  </si>
  <si>
    <t>2017 Annual Report &amp; Proxy</t>
  </si>
  <si>
    <t>2018-AnnualReport_03082019v2_Final</t>
  </si>
  <si>
    <t>ELI LILLY  2023 Annual Report</t>
  </si>
  <si>
    <t>Lilly-2019-Annual-Report-and-Proxy-Statement</t>
  </si>
  <si>
    <t>Lilly-2020-Annual-Report-Proxy-Statement</t>
  </si>
  <si>
    <t>Lilly_2022_Annual_Report</t>
  </si>
  <si>
    <t>Ems-Chemie Holding AG</t>
  </si>
  <si>
    <t>Annual_Report_2023_2024_Englisch</t>
  </si>
  <si>
    <t>EMS-GB_14_15_en</t>
  </si>
  <si>
    <t>EMS-GB_15_16_en</t>
  </si>
  <si>
    <t>EMS-GB_16_17_en</t>
  </si>
  <si>
    <t>EMS-GB_21-22_en</t>
  </si>
  <si>
    <t>EMS-GB_22-23_en</t>
  </si>
  <si>
    <t>EMS_GB_2017_2018_en</t>
  </si>
  <si>
    <t>gb_2018_2019_ems_chemie_E_WEB</t>
  </si>
  <si>
    <t>GB_EN_2021</t>
  </si>
  <si>
    <t>Feintool International Holding AG</t>
  </si>
  <si>
    <t>feintool-international-holding-ag_2014</t>
  </si>
  <si>
    <t>feintool-international-holding-ag_2015</t>
  </si>
  <si>
    <t>feintool-international-holding-ag_2016</t>
  </si>
  <si>
    <t>feintool-international-holding-ag_2017</t>
  </si>
  <si>
    <t>feintool-international-holding-ag_2018</t>
  </si>
  <si>
    <t>feintool-international-holding-ag_2019</t>
  </si>
  <si>
    <t>feintool-international-holding-ag_2020</t>
  </si>
  <si>
    <t>feintool-international-holding-ag_2021</t>
  </si>
  <si>
    <t>feintool-international-holding-ag_2022</t>
  </si>
  <si>
    <t>feintool-international-holding-ag_2023</t>
  </si>
  <si>
    <t>Forbo Holding AG</t>
  </si>
  <si>
    <t>Forbo_Annual_Report_2015_EN_Total</t>
  </si>
  <si>
    <t>Forbo_Annual_Report_2016_EN_TOTAL</t>
  </si>
  <si>
    <t>Forbo_Annual_Report_2017</t>
  </si>
  <si>
    <t>Forbo_Annual_Report_2018</t>
  </si>
  <si>
    <t>Forbo_Annual_Report_2019__en</t>
  </si>
  <si>
    <t>Forbo_Annual_Report_2020_en</t>
  </si>
  <si>
    <t>Forbo_GB2023_Geschaeftsbericht_en</t>
  </si>
  <si>
    <t>Forbo_Geschäftsbericht_2022__en</t>
  </si>
  <si>
    <t>Geschaeftsbericht_2021_en_web</t>
  </si>
  <si>
    <t>Geschaftsbericht_2014_E_Total</t>
  </si>
  <si>
    <t>Galderma Group AG</t>
  </si>
  <si>
    <t>Galderma_AR_2021_SECTION_01_RGB_FINAL</t>
  </si>
  <si>
    <t>galderma_ar_2022_0</t>
  </si>
  <si>
    <t>Galderma_AR_2023_Part1_Online_240320</t>
  </si>
  <si>
    <t>Geberit AG</t>
  </si>
  <si>
    <t>ext-annual-report-2018</t>
  </si>
  <si>
    <t>ext-annual-report-2019</t>
  </si>
  <si>
    <t>ext-annual-report-2020</t>
  </si>
  <si>
    <t>ext-annual-report-2021</t>
  </si>
  <si>
    <t>ext-annual-report-2022</t>
  </si>
  <si>
    <t>geberit-ar23-en-entire</t>
  </si>
  <si>
    <t>geberit_2014</t>
  </si>
  <si>
    <t>geberit_2015</t>
  </si>
  <si>
    <t>geberit_2016</t>
  </si>
  <si>
    <t>geberit_2017</t>
  </si>
  <si>
    <t>Georg Fischer AG</t>
  </si>
  <si>
    <t>2014-Annual-Report-Full-Version-GF_GB_2014_WEB_en</t>
  </si>
  <si>
    <t>2015-Annual-Report-Full-Version-GF_GB_2015_WEB_en</t>
  </si>
  <si>
    <t>2016-Annual-Report-Full-Version-GF_GB_2016_en</t>
  </si>
  <si>
    <t>2017-Annual-Report-Full-Version-GF_GB17_en_WEB</t>
  </si>
  <si>
    <t>2018-Annual-Report-Full-Version_en</t>
  </si>
  <si>
    <t>2019-Annual-Report-Full-Version_en</t>
  </si>
  <si>
    <t>2020-Annual-Report-Full-Version_en</t>
  </si>
  <si>
    <t>2021-Annual-Report-Full-Version_en</t>
  </si>
  <si>
    <t>corporate-reports-2022-full-version-en</t>
  </si>
  <si>
    <t>corporate-reports-2023-full-version-en</t>
  </si>
  <si>
    <t>Givaudan SA</t>
  </si>
  <si>
    <t>giv-2017-annual-report</t>
  </si>
  <si>
    <t>giv-2018-integrated-annual-report</t>
  </si>
  <si>
    <t>giv-2019-integrated-annual-report</t>
  </si>
  <si>
    <t>giv-2020-integrated_annual_report</t>
  </si>
  <si>
    <t>giv-2022-integrated-annual-report</t>
  </si>
  <si>
    <t>giv-2023-integrated-report</t>
  </si>
  <si>
    <t>giv-fyr-2016-annual-report</t>
  </si>
  <si>
    <t>GIV_2015_FYR-annual-report</t>
  </si>
  <si>
    <t>GIV_2021_IntegratedAnnualReport</t>
  </si>
  <si>
    <t>Goodyear Tire &amp; Rubber Company</t>
  </si>
  <si>
    <t>2015 Annual Report FINAL Web Version</t>
  </si>
  <si>
    <t>2016_annual_report</t>
  </si>
  <si>
    <t>2017-annual-report</t>
  </si>
  <si>
    <t>2018-annual-report</t>
  </si>
  <si>
    <t>2019-annual-report</t>
  </si>
  <si>
    <t>2020-annual-report</t>
  </si>
  <si>
    <t>2021-annual-report</t>
  </si>
  <si>
    <t>2023 annual report</t>
  </si>
  <si>
    <t>GT2014_AR</t>
  </si>
  <si>
    <t>Gurit Holding AG</t>
  </si>
  <si>
    <t>gurit_2014</t>
  </si>
  <si>
    <t>gurit_2015</t>
  </si>
  <si>
    <t>gurit_2016</t>
  </si>
  <si>
    <t>gurit_2017</t>
  </si>
  <si>
    <t>gurit_2018</t>
  </si>
  <si>
    <t>gurit_2019</t>
  </si>
  <si>
    <t>gurit_2020</t>
  </si>
  <si>
    <t>gurit_2021</t>
  </si>
  <si>
    <t>gurit_2022</t>
  </si>
  <si>
    <t>gurit_2023</t>
  </si>
  <si>
    <t>Holcim Ltd</t>
  </si>
  <si>
    <t>OTC_HCMLF_2016</t>
  </si>
  <si>
    <t>OTC_HCMLF_2017</t>
  </si>
  <si>
    <t>OTC_HCMLF_2018</t>
  </si>
  <si>
    <t>OTC_HCMLF_2019</t>
  </si>
  <si>
    <t>OTC_HOLN_2020</t>
  </si>
  <si>
    <t>OTC_HOLN_2021</t>
  </si>
  <si>
    <t>OTC_HOLN_2022</t>
  </si>
  <si>
    <t>Huber+Suhner AG</t>
  </si>
  <si>
    <t>Annual report 2016</t>
  </si>
  <si>
    <t>Idorsia Ltd</t>
  </si>
  <si>
    <t>2019_idorsia-annual-report-business</t>
  </si>
  <si>
    <t>2019_idorsia-annual-report-compensation</t>
  </si>
  <si>
    <t>2019_idorsia-annual-report-governance</t>
  </si>
  <si>
    <t>2020_idorsia-annual-report-business</t>
  </si>
  <si>
    <t>2020_idorsia-annual-report-compensation</t>
  </si>
  <si>
    <t>2020_idorsia-annual-report-finance</t>
  </si>
  <si>
    <t>2020_idorsia-annual-report-governance</t>
  </si>
  <si>
    <t>2021_idorsia-annual-report-business</t>
  </si>
  <si>
    <t>2021_idorsia-annual-report-compensation</t>
  </si>
  <si>
    <t>2021_idorsia-annual-report-finance</t>
  </si>
  <si>
    <t>2021_idorsia-annual-report-governance</t>
  </si>
  <si>
    <t>2022_idorsia-annual-report-business</t>
  </si>
  <si>
    <t>2022_idorsia-annual-report-compensation</t>
  </si>
  <si>
    <t>2022_idorsia-annual-report-finance</t>
  </si>
  <si>
    <t>2022_idorsia-annual-report-governance</t>
  </si>
  <si>
    <t>2023_idorsia-annual-report-business</t>
  </si>
  <si>
    <t>2023_idorsia-annual-report-compensation</t>
  </si>
  <si>
    <t>2023_idorsia-annual-report-finance</t>
  </si>
  <si>
    <t>2023_idorsia-annual-report-governance</t>
  </si>
  <si>
    <t>2023_idorsia-annual-report-sustainability</t>
  </si>
  <si>
    <t>INFICON HOLDING AG</t>
  </si>
  <si>
    <t>2014 INFICON Annual Report</t>
  </si>
  <si>
    <t>2015 INFICON Annual Report</t>
  </si>
  <si>
    <t>2016 INFICON Annual Report</t>
  </si>
  <si>
    <t>2017 INFICON Annual Report</t>
  </si>
  <si>
    <t>2018 INFICON Annual Report</t>
  </si>
  <si>
    <t>2019 INFICON Annual Report</t>
  </si>
  <si>
    <t>2020 INFICON Annual report</t>
  </si>
  <si>
    <t>AnnualReport2021_En</t>
  </si>
  <si>
    <t>Annual_Report_2022_English</t>
  </si>
  <si>
    <t>Annual_Report_2023_final</t>
  </si>
  <si>
    <t>Interroll Holding AG</t>
  </si>
  <si>
    <t>Annual_Report_2014_EN</t>
  </si>
  <si>
    <t>E_01_GB_Interroll_2023_WEB</t>
  </si>
  <si>
    <t>E_GB_Interroll_2022_final</t>
  </si>
  <si>
    <t>E_Interroll-GB-2021</t>
  </si>
  <si>
    <t>GB_2018_EN</t>
  </si>
  <si>
    <t>Interroll_Annual_Report_2015</t>
  </si>
  <si>
    <t>Interroll_Annual_Report_2019</t>
  </si>
  <si>
    <t>Interroll_Annual_Report_2020_EN</t>
  </si>
  <si>
    <t>IVF HARTMANN Holding AG</t>
  </si>
  <si>
    <t>EN_Inform_Q1_2019_Internet</t>
  </si>
  <si>
    <t>EN_Inform_Q1_2020_Internet</t>
  </si>
  <si>
    <t>EN_Inform_Q1_2021_Internet</t>
  </si>
  <si>
    <t>EN_Inform_Q1_2022_final</t>
  </si>
  <si>
    <t>EN_Inform_Q2_2019_Internet</t>
  </si>
  <si>
    <t>EN_Inform_Q2_2020_Internet</t>
  </si>
  <si>
    <t>EN_Inform_Q2_2021_final</t>
  </si>
  <si>
    <t>EN_Inform_Q2_2022_final</t>
  </si>
  <si>
    <t>EN_Inform_Q3_2019_Internet</t>
  </si>
  <si>
    <t>EN_Inform_Q3_2020_Internet</t>
  </si>
  <si>
    <t>EN_Inform_Q3_2021_final</t>
  </si>
  <si>
    <t>EN_Inform_Q3_2022_final</t>
  </si>
  <si>
    <t>PHAG-Inform-2023-Q1-EN</t>
  </si>
  <si>
    <t>PHAG-Inform-2023-Q2-EN</t>
  </si>
  <si>
    <t>PHAG-Inform-2023-Q3-EN</t>
  </si>
  <si>
    <t>Press Information_Q4_2021</t>
  </si>
  <si>
    <t>Press release_Q4_2019</t>
  </si>
  <si>
    <t>Presse Release_Q4_2020</t>
  </si>
  <si>
    <t>Klingelnberg AG</t>
  </si>
  <si>
    <t>Annual_Report_2018_19</t>
  </si>
  <si>
    <t>Annual_Report_2019_20</t>
  </si>
  <si>
    <t>Annual_Report_2020_21_en</t>
  </si>
  <si>
    <t>Annual_Report_2021_22_en</t>
  </si>
  <si>
    <t>Annual_Report_2022_23_en_final</t>
  </si>
  <si>
    <t>Annual_Report_2023_24_en_final</t>
  </si>
  <si>
    <t>Komax Holding AG</t>
  </si>
  <si>
    <t>OTC_KMAAF_2014</t>
  </si>
  <si>
    <t>OTC_KMAAF_2015</t>
  </si>
  <si>
    <t>OTC_KMAAF_2016</t>
  </si>
  <si>
    <t>OTC_KMAAF_2017</t>
  </si>
  <si>
    <t>OTC_KMAAF_2018</t>
  </si>
  <si>
    <t>OTC_KMAAF_2019</t>
  </si>
  <si>
    <t>OTC_KMAAF_2020</t>
  </si>
  <si>
    <t>OTC_KMAAF_2021</t>
  </si>
  <si>
    <t>OTC_KMAAF_2022</t>
  </si>
  <si>
    <t>OTC_KMAAF_2023</t>
  </si>
  <si>
    <t>Kudelski S.A</t>
  </si>
  <si>
    <t>2017_Kudelski Group_Annual Report_0</t>
  </si>
  <si>
    <t>2018_Kudelski_Group_Annual_Report</t>
  </si>
  <si>
    <t>2019_Kudelski Group_Annual Report</t>
  </si>
  <si>
    <t>2020_Annual_Report</t>
  </si>
  <si>
    <t>2021AnnualReport</t>
  </si>
  <si>
    <t>2022_Annual_Report</t>
  </si>
  <si>
    <t>2023_Annual_Report</t>
  </si>
  <si>
    <t>RA_2014_E</t>
  </si>
  <si>
    <t>RA_2015_E_0</t>
  </si>
  <si>
    <t>RA_2016_E</t>
  </si>
  <si>
    <t>Landis+Gyr Group AG</t>
  </si>
  <si>
    <t>Annual-Report-2021-Full-Version-PDF</t>
  </si>
  <si>
    <t>LandisGyr_AnnualReport_2017_EN</t>
  </si>
  <si>
    <t>LandisGyr_AnnualReport_2018_EN</t>
  </si>
  <si>
    <t>Landis_Gyr_Annual_Report_2019_EN_Full</t>
  </si>
  <si>
    <t>Landis_Gyr_Annual_Report_2020_EN_Full</t>
  </si>
  <si>
    <t>Landis_Gyr_Annual_Report_2022_EN_Full</t>
  </si>
  <si>
    <t>Landis_Gyr_Annual_Report_2023_EN_Full</t>
  </si>
  <si>
    <t>Lepu Medical Technology (Beijing) Co., Ltd</t>
  </si>
  <si>
    <t>2022-annual-report</t>
  </si>
  <si>
    <t>lepu-2023-annual-report</t>
  </si>
  <si>
    <t>Logitech International S.A</t>
  </si>
  <si>
    <t>NASDAQ_LOGI_2014</t>
  </si>
  <si>
    <t>NASDAQ_LOGI_2015</t>
  </si>
  <si>
    <t>NASDAQ_LOGI_2016</t>
  </si>
  <si>
    <t>NASDAQ_LOGI_2017</t>
  </si>
  <si>
    <t>NASDAQ_LOGI_2018</t>
  </si>
  <si>
    <t>NASDAQ_LOGI_2019</t>
  </si>
  <si>
    <t>NASDAQ_LOGI_2020</t>
  </si>
  <si>
    <t>NASDAQ_LOGI_2021</t>
  </si>
  <si>
    <t>NASDAQ_LOGI_2022</t>
  </si>
  <si>
    <t>NASDAQ_LOGI_2023</t>
  </si>
  <si>
    <t>Lonza Group AG</t>
  </si>
  <si>
    <t>AR-2015_Financial-Overview_download</t>
  </si>
  <si>
    <t>lonza_2016</t>
  </si>
  <si>
    <t>lonza_2017</t>
  </si>
  <si>
    <t>lonza_2018</t>
  </si>
  <si>
    <t>lonza_2019</t>
  </si>
  <si>
    <t>lonza_2020</t>
  </si>
  <si>
    <t>lonza_2021</t>
  </si>
  <si>
    <t>lonza_2022</t>
  </si>
  <si>
    <t>lonza_2023</t>
  </si>
  <si>
    <t>Lonza_AR_2014_Corporate_Overview</t>
  </si>
  <si>
    <t>Lonza_AR_2014_Financial_Overview</t>
  </si>
  <si>
    <t>Medacta Group SA</t>
  </si>
  <si>
    <t>0-2021-medacta-annual-report</t>
  </si>
  <si>
    <t>2-2022-annual-report</t>
  </si>
  <si>
    <t>Medartis Holding AG</t>
  </si>
  <si>
    <t>00_medartis_2018_annual_report</t>
  </si>
  <si>
    <t>2019_Annual_Report</t>
  </si>
  <si>
    <t>2021_annual_report</t>
  </si>
  <si>
    <t>2022_annual_report</t>
  </si>
  <si>
    <t>2023_annual_report</t>
  </si>
  <si>
    <t>medmix AG</t>
  </si>
  <si>
    <t>medmix  Combined and carveout financial statements 2020 2019 and 2018 incl report of the independent</t>
  </si>
  <si>
    <t>medmix - Combined and carve-out interim financial statements 2021 and 2020</t>
  </si>
  <si>
    <t>medmix Full Year 2022 presentation</t>
  </si>
  <si>
    <t>medmix-Full-Year-2023-Report_FINAL</t>
  </si>
  <si>
    <t>medmix_annual_report_2021</t>
  </si>
  <si>
    <t>Metall Zug AG</t>
  </si>
  <si>
    <t>Annual-Report-2018-EN</t>
  </si>
  <si>
    <t>Annual-Report_2019</t>
  </si>
  <si>
    <t>Annual-Report_2020_210318_073210</t>
  </si>
  <si>
    <t>Annual-Report_2021</t>
  </si>
  <si>
    <t>Annual-Report_2022</t>
  </si>
  <si>
    <t>Annual-Report_2023</t>
  </si>
  <si>
    <t>AnnualReport_2017_EN</t>
  </si>
  <si>
    <t>METALL_ZUG_GB2014_EN_low_dynamisch_final</t>
  </si>
  <si>
    <t>METALL_ZUG_GB_2016_EN</t>
  </si>
  <si>
    <t>Meyer Burger Technology AG</t>
  </si>
  <si>
    <t>2019_Fiscal_Year_Report</t>
  </si>
  <si>
    <t>2020_Meyer_Burger_Annual_Report</t>
  </si>
  <si>
    <t>2021_Meyer_Burger_Annual_Report</t>
  </si>
  <si>
    <t>2022_Meyer_Burger_Annual_Report</t>
  </si>
  <si>
    <t>2023_Meyer_Burger_Annual_Report</t>
  </si>
  <si>
    <t>meyer-burger_2015</t>
  </si>
  <si>
    <t>meyer-burger_2016</t>
  </si>
  <si>
    <t>meyer-burger_2017</t>
  </si>
  <si>
    <t>meyer-burger_2018</t>
  </si>
  <si>
    <t>Mikron Holding AG</t>
  </si>
  <si>
    <t>mikron-holding_2014</t>
  </si>
  <si>
    <t>mikron-holding_2015</t>
  </si>
  <si>
    <t>mikron-holding_2016</t>
  </si>
  <si>
    <t>mikron-holding_2017</t>
  </si>
  <si>
    <t>mikron-holding_2018</t>
  </si>
  <si>
    <t>Mikron_Annual-Report19_web</t>
  </si>
  <si>
    <t>Mikron_Annual_Report_2020_web</t>
  </si>
  <si>
    <t>Mikron_Annual_Report_2021_web</t>
  </si>
  <si>
    <t>Mikron_Annual_Report_2022</t>
  </si>
  <si>
    <t>MI_240307_GB-23_EN</t>
  </si>
  <si>
    <t>Nestlé AG</t>
  </si>
  <si>
    <t>OTC_NSRGY_2014</t>
  </si>
  <si>
    <t>OTC_NSRGY_2015</t>
  </si>
  <si>
    <t>OTC_NSRGY_2016</t>
  </si>
  <si>
    <t>OTC_NSRGY_2017</t>
  </si>
  <si>
    <t>OTC_NSRGY_2018</t>
  </si>
  <si>
    <t>OTC_NSRGY_2019</t>
  </si>
  <si>
    <t>OTC_NSRGY_2020</t>
  </si>
  <si>
    <t>OTC_NSRGY_2021</t>
  </si>
  <si>
    <t>OTC_NSRGY_2022</t>
  </si>
  <si>
    <t>OTC_NSRGY_2023</t>
  </si>
  <si>
    <t>NIBE Industrier AB</t>
  </si>
  <si>
    <t>nibe-group_2014</t>
  </si>
  <si>
    <t>nibe-group_2015</t>
  </si>
  <si>
    <t>nibe-group_2016</t>
  </si>
  <si>
    <t>nibe-group_2017</t>
  </si>
  <si>
    <t>nibe-group_2018</t>
  </si>
  <si>
    <t>nibe-group_2019</t>
  </si>
  <si>
    <t>nibe-group_2020</t>
  </si>
  <si>
    <t>nibe-group_2021</t>
  </si>
  <si>
    <t>nibe-group_2022</t>
  </si>
  <si>
    <t>nibe-group_2023</t>
  </si>
  <si>
    <t>Novartis AG</t>
  </si>
  <si>
    <t>novartis-annual-report-2023</t>
  </si>
  <si>
    <t>NYSE_NVS_2014</t>
  </si>
  <si>
    <t>NYSE_NVS_2015</t>
  </si>
  <si>
    <t>NYSE_NVS_2016</t>
  </si>
  <si>
    <t>NYSE_NVS_2017</t>
  </si>
  <si>
    <t>NYSE_NVS_2018</t>
  </si>
  <si>
    <t>NYSE_NVS_2019</t>
  </si>
  <si>
    <t>NYSE_NVS_2020</t>
  </si>
  <si>
    <t>NYSE_NVS_2021</t>
  </si>
  <si>
    <t>NYSE_NVS_2022</t>
  </si>
  <si>
    <t>OC Oerlikon Corporation AG</t>
  </si>
  <si>
    <t>20172802_Oerlikon_2016_AnnualReport</t>
  </si>
  <si>
    <t>AnnualReport_2018_EN</t>
  </si>
  <si>
    <t>Annual_Report_2015</t>
  </si>
  <si>
    <t>GB_17_Full_EN_online</t>
  </si>
  <si>
    <t>Oerlikon_2019_Annual_Report</t>
  </si>
  <si>
    <t>Oerlikon_AnnualReport2023_20240307</t>
  </si>
  <si>
    <t>Oerlikon_Annual_Report_2020</t>
  </si>
  <si>
    <t>Oerlikon_Annual_Report_2021</t>
  </si>
  <si>
    <t>Oerlikon_Annual_Report_2022</t>
  </si>
  <si>
    <t>Oerlikon_GB2014_EN</t>
  </si>
  <si>
    <t>PepsiCo Inc</t>
  </si>
  <si>
    <t>NYSE_PEP_2014</t>
  </si>
  <si>
    <t>NYSE_PEP_2015</t>
  </si>
  <si>
    <t>NYSE_PEP_2016</t>
  </si>
  <si>
    <t>NYSE_PEP_2017</t>
  </si>
  <si>
    <t>NYSE_PEP_2018</t>
  </si>
  <si>
    <t>NYSE_PEP_2019</t>
  </si>
  <si>
    <t>NYSE_PEP_2020</t>
  </si>
  <si>
    <t>NYSE_PEP_2021</t>
  </si>
  <si>
    <t>NYSE_PEP_2022</t>
  </si>
  <si>
    <t>NYSE_PEP_2023</t>
  </si>
  <si>
    <t>Philip Morris International Inc</t>
  </si>
  <si>
    <t>NYSE_PM_2014</t>
  </si>
  <si>
    <t>NYSE_PM_2015</t>
  </si>
  <si>
    <t>NYSE_PM_2016</t>
  </si>
  <si>
    <t>NYSE_PM_2017</t>
  </si>
  <si>
    <t>NYSE_PM_2018</t>
  </si>
  <si>
    <t>NYSE_PM_2019</t>
  </si>
  <si>
    <t>NYSE_PM_2020</t>
  </si>
  <si>
    <t>NYSE_PM_2021</t>
  </si>
  <si>
    <t>NYSE_PM_2022</t>
  </si>
  <si>
    <t>NYSE_PM_2023</t>
  </si>
  <si>
    <t>Phoenix Mecano AG</t>
  </si>
  <si>
    <t>annual-report-2014-phoenix-mecano</t>
  </si>
  <si>
    <t>annual-report-2015-phoenix-mecano</t>
  </si>
  <si>
    <t>Phoenix-Mecano-Annual-report-2021-en</t>
  </si>
  <si>
    <t>Phoenix-Mecano-Annual-report-2022-en</t>
  </si>
  <si>
    <t>Phoenix-Mecano-Annual-report-2023-en</t>
  </si>
  <si>
    <t>phoenix-mecano-ar-2020-en-v1</t>
  </si>
  <si>
    <t>PIERER Mobility AG</t>
  </si>
  <si>
    <t>00_cross_gb2014_e_web</t>
  </si>
  <si>
    <t>annual-report-2019_pierer-mobility-ag</t>
  </si>
  <si>
    <t>annual-report-2020-pierer-mobility-ag</t>
  </si>
  <si>
    <t>annual-report-2021_pierer-mobility-ag</t>
  </si>
  <si>
    <t>annual-report-2022_pierer-mobility-ag</t>
  </si>
  <si>
    <t>annual-report-2023_pierer-mobility-ag</t>
  </si>
  <si>
    <t>annual-report_2018-ktm-industries-ag</t>
  </si>
  <si>
    <t>cross_geschftsbericht_2015_en</t>
  </si>
  <si>
    <t>ktm-industries-ag_annual-report_2016</t>
  </si>
  <si>
    <t>ktm_industries-ag-annual-report_2017_en</t>
  </si>
  <si>
    <t>Rieter Holding AG</t>
  </si>
  <si>
    <t>rieter_2014</t>
  </si>
  <si>
    <t>rieter_2015</t>
  </si>
  <si>
    <t>rieter_2016</t>
  </si>
  <si>
    <t>rieter_2017</t>
  </si>
  <si>
    <t>rieter_2018</t>
  </si>
  <si>
    <t>rieter_2019</t>
  </si>
  <si>
    <t>rieter_2020</t>
  </si>
  <si>
    <t>rieter_2021</t>
  </si>
  <si>
    <t>rieter_2022</t>
  </si>
  <si>
    <t>rieter_2023</t>
  </si>
  <si>
    <t>Roche Holding AG</t>
  </si>
  <si>
    <t>roche-holdings_2014</t>
  </si>
  <si>
    <t>roche-holdings_2015</t>
  </si>
  <si>
    <t>roche-holdings_2016</t>
  </si>
  <si>
    <t>roche-holdings_2017</t>
  </si>
  <si>
    <t>roche-holdings_2018</t>
  </si>
  <si>
    <t>roche-holdings_2019</t>
  </si>
  <si>
    <t>roche-holdings_2020</t>
  </si>
  <si>
    <t>roche-holdings_2021</t>
  </si>
  <si>
    <t>roche-holdings_2022</t>
  </si>
  <si>
    <t>roche-holdings_2023</t>
  </si>
  <si>
    <t>Sandoz Group AG</t>
  </si>
  <si>
    <t>2023-Integrated-Annual-Report</t>
  </si>
  <si>
    <t>Schlatter Industries AG</t>
  </si>
  <si>
    <t>gb2014</t>
  </si>
  <si>
    <t>gb2015_en</t>
  </si>
  <si>
    <t>gb2016_en</t>
  </si>
  <si>
    <t>gb2017_en</t>
  </si>
  <si>
    <t>gb2018</t>
  </si>
  <si>
    <t>gb2019</t>
  </si>
  <si>
    <t>gb2020</t>
  </si>
  <si>
    <t>gb2021</t>
  </si>
  <si>
    <t>gb2022</t>
  </si>
  <si>
    <t>GB2023</t>
  </si>
  <si>
    <t>Schweiter Technologies AG</t>
  </si>
  <si>
    <t>2022_web_en_schweiter_annual_report_03_03_2023</t>
  </si>
  <si>
    <t>schweiter_annualreport2014en_web</t>
  </si>
  <si>
    <t>schweiter_gb_2015_english</t>
  </si>
  <si>
    <t>schweiter_gb_2016_englisch</t>
  </si>
  <si>
    <t>web_2021_schweiter_gb_englisch</t>
  </si>
  <si>
    <t>web_en_schweiter_annual_report_07_03_2024_1040</t>
  </si>
  <si>
    <t>web_schweiter_gb_2017_englisch</t>
  </si>
  <si>
    <t>web_schweiter_gb_2018_englisch</t>
  </si>
  <si>
    <t>web_schweiter_gb_2019_englisch</t>
  </si>
  <si>
    <t>web_schweiter_gb_2020_englisch</t>
  </si>
  <si>
    <t>Sensirion Holding AG</t>
  </si>
  <si>
    <t>SFS Group AG</t>
  </si>
  <si>
    <t>annual-report-2018_3</t>
  </si>
  <si>
    <t>annual-report-2020</t>
  </si>
  <si>
    <t>annual-report-2023</t>
  </si>
  <si>
    <t>geschaeftsbericht_2022</t>
  </si>
  <si>
    <t>geschäftsbericht_2021</t>
  </si>
  <si>
    <t>sfs-annual-report-2014</t>
  </si>
  <si>
    <t>sfs-annual-report-2015</t>
  </si>
  <si>
    <t>sfs-annual-report-2016</t>
  </si>
  <si>
    <t>sfs-annual-report-2017</t>
  </si>
  <si>
    <t>Siegfried Holding AG</t>
  </si>
  <si>
    <t>siegfried_2014</t>
  </si>
  <si>
    <t>siegfried_2015</t>
  </si>
  <si>
    <t>siegfried_2016</t>
  </si>
  <si>
    <t>siegfried_2017</t>
  </si>
  <si>
    <t>siegfried_2018</t>
  </si>
  <si>
    <t>siegfried_2019</t>
  </si>
  <si>
    <t>siegfried_2020</t>
  </si>
  <si>
    <t>siegfried_2021</t>
  </si>
  <si>
    <t>siegfried_2022</t>
  </si>
  <si>
    <t>siegfried_2023</t>
  </si>
  <si>
    <t>SIG Group Ltd</t>
  </si>
  <si>
    <t>OTC_SCBGF_2018</t>
  </si>
  <si>
    <t>OTC_SCBGF_2019</t>
  </si>
  <si>
    <t>OTC_SCBGF_2020</t>
  </si>
  <si>
    <t>OTC_SCBGF_2021</t>
  </si>
  <si>
    <t>OTC_SCBGF_2022</t>
  </si>
  <si>
    <t>sig-annual-report-2023</t>
  </si>
  <si>
    <t>Sika AG</t>
  </si>
  <si>
    <t>glo-annual-report-2020-sika-business-year</t>
  </si>
  <si>
    <t>glo-annual-report-2021-sika-business-year</t>
  </si>
  <si>
    <t>glo-ar-2022-sika-business-year</t>
  </si>
  <si>
    <t>glo-ar-2023-annual-report</t>
  </si>
  <si>
    <t>glo-Sika-Annual-Report-2016</t>
  </si>
  <si>
    <t>NEW-glo-annual-report-2019-sika-business-year-new</t>
  </si>
  <si>
    <t>Sika Annual Report 2014</t>
  </si>
  <si>
    <t>Sika Annual Report 2017</t>
  </si>
  <si>
    <t>Sika Annual Report 2018</t>
  </si>
  <si>
    <t>Sika-Annual-Report-2015</t>
  </si>
  <si>
    <t>Sonova Holding AG</t>
  </si>
  <si>
    <t>00_sonova_ar17_full_report_en</t>
  </si>
  <si>
    <t>00_sonova_ar18_full_report_en_low</t>
  </si>
  <si>
    <t>01_sonova_annual_report_2016_17_full_en</t>
  </si>
  <si>
    <t>01_Sonova_AR_2020_21_Full_Report_en</t>
  </si>
  <si>
    <t>01_Sonova_AR_2021_22_Full_Report_en</t>
  </si>
  <si>
    <t>01_Sonova_AR_2022_23_Full_Report_en</t>
  </si>
  <si>
    <t>01_Sonova_AR_23-24_Full_Report_en</t>
  </si>
  <si>
    <t>01_Sonova_FULL_Annual_Report_2014_15_en</t>
  </si>
  <si>
    <t>Geschäftsbericht 2019_20 en complete</t>
  </si>
  <si>
    <t>so_geschaeftsbericht_2015_16_gesamt_en</t>
  </si>
  <si>
    <t>Stadler Rail AG</t>
  </si>
  <si>
    <t>stadler_annual_report_2022_en</t>
  </si>
  <si>
    <t>stadler_rail_gb_2023_web_en</t>
  </si>
  <si>
    <t>web_stadler_gb_2021_en</t>
  </si>
  <si>
    <t>web_stadler_rail_gb19_en</t>
  </si>
  <si>
    <t>web_stadler_rail_gb20_en</t>
  </si>
  <si>
    <t>StarragTornos Group AG</t>
  </si>
  <si>
    <t>2020-annual-report-en</t>
  </si>
  <si>
    <t>annual_report_2014_starrag</t>
  </si>
  <si>
    <t>annual_report_2014_tornos</t>
  </si>
  <si>
    <t>annual_report_2015_starrag</t>
  </si>
  <si>
    <t>annual_report_2015_tornos</t>
  </si>
  <si>
    <t>annual_report_2016_starrag</t>
  </si>
  <si>
    <t>annual_report_2016_tornos</t>
  </si>
  <si>
    <t>annual_report_2017_starrag</t>
  </si>
  <si>
    <t>annual_report_2017_tornos</t>
  </si>
  <si>
    <t>annual_report_2018_starrag</t>
  </si>
  <si>
    <t>annual_report_2018_tornos</t>
  </si>
  <si>
    <t>annual_report_2019_starrag</t>
  </si>
  <si>
    <t>annual_report_2019_tornos</t>
  </si>
  <si>
    <t>gb-starrag-2022-gesamt-en-5</t>
  </si>
  <si>
    <t>gbstarrag2021gesamten</t>
  </si>
  <si>
    <t>geschaftsbericht-tornos-2021</t>
  </si>
  <si>
    <t>starragtornos_annual_report_2023_1</t>
  </si>
  <si>
    <t>tor20171_ar2020_en_v7_final_web</t>
  </si>
  <si>
    <t>tornos_report_2022_en</t>
  </si>
  <si>
    <t>Straumann Holding AG</t>
  </si>
  <si>
    <t>2016 Annual Report</t>
  </si>
  <si>
    <t>2018_Straumann_Annual_report</t>
  </si>
  <si>
    <t>2019_Straumann_annual_report</t>
  </si>
  <si>
    <t>2020_Straumann_Annual_Report</t>
  </si>
  <si>
    <t>STMN_2015AR_final_web</t>
  </si>
  <si>
    <t>Straumann-2017-Annual-Report</t>
  </si>
  <si>
    <t>Straumann_AR21_EN_final</t>
  </si>
  <si>
    <t>Straumann_AR22</t>
  </si>
  <si>
    <t>Straumann_AR23</t>
  </si>
  <si>
    <t>STR_Annual_Report_2014_FINAL</t>
  </si>
  <si>
    <t>Sulzer AG</t>
  </si>
  <si>
    <t>OTC_SULZF_2014</t>
  </si>
  <si>
    <t>OTC_SULZF_2015</t>
  </si>
  <si>
    <t>OTC_SULZF_2016</t>
  </si>
  <si>
    <t>OTC_SULZF_2017</t>
  </si>
  <si>
    <t>OTC_SULZF_2018</t>
  </si>
  <si>
    <t>OTC_SULZF_2019</t>
  </si>
  <si>
    <t>OTC_SULZF_2020</t>
  </si>
  <si>
    <t>OTC_SULZF_2021</t>
  </si>
  <si>
    <t>OTC_SULZF_2022</t>
  </si>
  <si>
    <t>OTC_SULZF_2023</t>
  </si>
  <si>
    <t>Swiss Steel Holding AG</t>
  </si>
  <si>
    <t>SSG_Annual_Report_2015</t>
  </si>
  <si>
    <t>SSG_Annual_Report_2016</t>
  </si>
  <si>
    <t>SSG_Annual_Report_2017</t>
  </si>
  <si>
    <t>SSG_Annual_Report_2018</t>
  </si>
  <si>
    <t>SSG_Annual_Report_2019</t>
  </si>
  <si>
    <t>SSG_Annual_Report_2020</t>
  </si>
  <si>
    <t>SSG_Annual_Report_2021</t>
  </si>
  <si>
    <t>SSG_Annual_Report_2022</t>
  </si>
  <si>
    <t>Swisscom AG</t>
  </si>
  <si>
    <t>OTC_SWZCF_2014</t>
  </si>
  <si>
    <t>OTC_SWZCF_2015</t>
  </si>
  <si>
    <t>OTC_SWZCF_2016</t>
  </si>
  <si>
    <t>OTC_SWZCF_2017</t>
  </si>
  <si>
    <t>OTC_SWZCF_2018</t>
  </si>
  <si>
    <t>OTC_SWZCF_2019</t>
  </si>
  <si>
    <t>OTC_SWZCF_2020</t>
  </si>
  <si>
    <t>OTC_SWZCF_2021</t>
  </si>
  <si>
    <t>OTC_SWZCF_2022</t>
  </si>
  <si>
    <t>OTC_SWZCF_2023</t>
  </si>
  <si>
    <t>Tecan Group AG</t>
  </si>
  <si>
    <t>pr_key_figures_2020_en</t>
  </si>
  <si>
    <t>Tecan_Annual_Report_2014_EN</t>
  </si>
  <si>
    <t>Tecan_Annual_Report_2015_EN</t>
  </si>
  <si>
    <t>Tecan_Annual_Report_2016_EN</t>
  </si>
  <si>
    <t>Tecan_Annual_Report_2017_EN</t>
  </si>
  <si>
    <t>Tecan_Annual_Report_2018_EN</t>
  </si>
  <si>
    <t>Tecan_Annual_Report_2019_EN</t>
  </si>
  <si>
    <t>Tecan_Annual_Report_2020_EN</t>
  </si>
  <si>
    <t>Tecan_Annual_Report_2021_EN</t>
  </si>
  <si>
    <t>Tecan_Annual_Report_2022_EN</t>
  </si>
  <si>
    <t>Tecan_Annual_Report_2023_EN</t>
  </si>
  <si>
    <t>The Swatch Group AG</t>
  </si>
  <si>
    <t>2014_annual_report_complete_en</t>
  </si>
  <si>
    <t>2014_annual_report_finance_en</t>
  </si>
  <si>
    <t>2015_annual_report_complete_en</t>
  </si>
  <si>
    <t>2015_annual_report_finance_en</t>
  </si>
  <si>
    <t>2016_annual_report_complete_en</t>
  </si>
  <si>
    <t>2016_annual_report_finance_en</t>
  </si>
  <si>
    <t>2017_annual_report_complete_en</t>
  </si>
  <si>
    <t>2017_annual_report_finance_en</t>
  </si>
  <si>
    <t>2018_annual_report_complete_en_0</t>
  </si>
  <si>
    <t>2018_annual_report_finance_en_0</t>
  </si>
  <si>
    <t>2019_annual_report_complete_en</t>
  </si>
  <si>
    <t>2019_annual_report_finance_en</t>
  </si>
  <si>
    <t>swatchgroup_2023_en</t>
  </si>
  <si>
    <t>swatchgroup_2023_en_finance</t>
  </si>
  <si>
    <t>swatchgroup_rdg20_gb_complete</t>
  </si>
  <si>
    <t>swatchgroup_rdg20_gb_finance</t>
  </si>
  <si>
    <t>SwatchGroup_RDG21_GB_complete_0</t>
  </si>
  <si>
    <t>swatchgroup_rdg21_gb_finance</t>
  </si>
  <si>
    <t>SwatchGroup_RDG22_GB_finance</t>
  </si>
  <si>
    <t>SwatchGroup_RDG22_GB_web</t>
  </si>
  <si>
    <t>u-blox Holding AG</t>
  </si>
  <si>
    <t>annual-report-2021_digital</t>
  </si>
  <si>
    <t>Annual-Report-2022</t>
  </si>
  <si>
    <t>Annual_Review_2015</t>
  </si>
  <si>
    <t>corportate_governance_and_financial_report_2014_0</t>
  </si>
  <si>
    <t>Financial_Report_16</t>
  </si>
  <si>
    <t>Full Annual Report 2019_1</t>
  </si>
  <si>
    <t>Presentation_Full_Year_2017_0</t>
  </si>
  <si>
    <t>u-blox_annual_review_2014</t>
  </si>
  <si>
    <t>ublox_annual_report_2018_0</t>
  </si>
  <si>
    <t>V-ZUG Holding AG</t>
  </si>
  <si>
    <t>V-ZUG-Annual-Report-2020-en</t>
  </si>
  <si>
    <t>V-ZUG-Annual-Report-2021-en</t>
  </si>
  <si>
    <t>V-ZUG-Annual-Report-2022-EN-WEB</t>
  </si>
  <si>
    <t>V-ZUG-Annual-Report-2023-en</t>
  </si>
  <si>
    <t>Will Semiconductor Co., Ltd. Shanghai</t>
  </si>
  <si>
    <t>WISeKey International Holding Ltd</t>
  </si>
  <si>
    <t>NASDAQ_WKEY_2015</t>
  </si>
  <si>
    <t>NASDAQ_WKEY_2016</t>
  </si>
  <si>
    <t>NASDAQ_WKEY_2017</t>
  </si>
  <si>
    <t>NASDAQ_WKEY_2018</t>
  </si>
  <si>
    <t>NASDAQ_WKEY_2019</t>
  </si>
  <si>
    <t>NASDAQ_WKEY_2020</t>
  </si>
  <si>
    <t>NASDAQ_WKEY_2021</t>
  </si>
  <si>
    <t>NASDAQ_WKEY_2022</t>
  </si>
  <si>
    <t>NASDAQ_WKEY_2023</t>
  </si>
  <si>
    <t>Ypsomed Holding AG</t>
  </si>
  <si>
    <t>Zehnder Group AG</t>
  </si>
  <si>
    <t>annual-report-2016-en</t>
  </si>
  <si>
    <t>annual-report-2019-en</t>
  </si>
  <si>
    <t>annual-report-2020-en</t>
  </si>
  <si>
    <t>annual-report-2021-en</t>
  </si>
  <si>
    <t>annual-report-2022-en</t>
  </si>
  <si>
    <t>annual-report-2023-en</t>
  </si>
  <si>
    <t>zehnder-group-annual-report-2014-1</t>
  </si>
  <si>
    <t>zehnder-group-annual-report-2015-1</t>
  </si>
  <si>
    <t>zehnder-group-annual-report-2017_en</t>
  </si>
  <si>
    <t>zehnder-group-annual-report-2018_en</t>
  </si>
  <si>
    <t>Zimmer Biomet Holdings Inc</t>
  </si>
  <si>
    <t>NYSE_ZBH_2014</t>
  </si>
  <si>
    <t>NYSE_ZBH_2015</t>
  </si>
  <si>
    <t>NYSE_ZBH_2016</t>
  </si>
  <si>
    <t>NYSE_ZBH_2017</t>
  </si>
  <si>
    <t>NYSE_ZBH_2018</t>
  </si>
  <si>
    <t>NYSE_ZBH_2019</t>
  </si>
  <si>
    <t>NYSE_ZBH_2020</t>
  </si>
  <si>
    <t>NYSE_ZBH_2021</t>
  </si>
  <si>
    <t>NYSE_ZBH_2022</t>
  </si>
  <si>
    <t>NYSE_ZBH_2023</t>
  </si>
  <si>
    <t>Addex Therapeutics Ltd</t>
  </si>
  <si>
    <t>OTC_ADXN_2014</t>
  </si>
  <si>
    <t>OTC_ADXN_2015</t>
  </si>
  <si>
    <t>OTC_ADXN_2016</t>
  </si>
  <si>
    <t>OTC_ADXN_2017</t>
  </si>
  <si>
    <t>OTC_ADXN_2018</t>
  </si>
  <si>
    <t>OTC_ADXN_2019</t>
  </si>
  <si>
    <t>OTC_ADXN_2020</t>
  </si>
  <si>
    <t>OTC_ADXN_2021</t>
  </si>
  <si>
    <t>OTC_ADXN_2022</t>
  </si>
  <si>
    <t>OTC_ADXN_2023</t>
  </si>
  <si>
    <t>Anglo American plc</t>
  </si>
  <si>
    <t>LSE_AAL_2014</t>
  </si>
  <si>
    <t>LSE_AAL_2015</t>
  </si>
  <si>
    <t>LSE_AAL_2016</t>
  </si>
  <si>
    <t>LSE_AAL_2017</t>
  </si>
  <si>
    <t>LSE_AAL_2018</t>
  </si>
  <si>
    <t>LSE_AAL_2019</t>
  </si>
  <si>
    <t>LSE_AAL_2020</t>
  </si>
  <si>
    <t>LSE_AAL_2021</t>
  </si>
  <si>
    <t>LSE_AAL_2022</t>
  </si>
  <si>
    <t>LSE_AAL_2023</t>
  </si>
  <si>
    <t>Ascom Holding AG</t>
  </si>
  <si>
    <t>ascom-annual-report-2016</t>
  </si>
  <si>
    <t>ascom-annual-report-2017</t>
  </si>
  <si>
    <t>ascom-annual-report-2018</t>
  </si>
  <si>
    <t>ascom-annual-report-2019</t>
  </si>
  <si>
    <t>ascom-annual-report-2020</t>
  </si>
  <si>
    <t>ascom-annual-report-2021</t>
  </si>
  <si>
    <t>ascom-annual-report-2023</t>
  </si>
  <si>
    <t>ascom_gb22_web</t>
  </si>
  <si>
    <t>Calida Holding AG</t>
  </si>
  <si>
    <t>15_annual_report</t>
  </si>
  <si>
    <t>calida_annual-report_2023_en</t>
  </si>
  <si>
    <t>calida_gb_2022_en_final</t>
  </si>
  <si>
    <t>fy16_calida_group_annual_report</t>
  </si>
  <si>
    <t>fy17_cg_annual_report</t>
  </si>
  <si>
    <t>fy18_cg_annual_report</t>
  </si>
  <si>
    <t>fy19_calida20group_geschaeftsbericht_2019</t>
  </si>
  <si>
    <t>fy20_calida_group_annual-report_2020</t>
  </si>
  <si>
    <t>fy21_calida_annual-report_2021</t>
  </si>
  <si>
    <t>gb_2014_en</t>
  </si>
  <si>
    <t>COSMO Pharmaceuticals N.V</t>
  </si>
  <si>
    <t>170323_Cosmo_AnnualReport_2016_web</t>
  </si>
  <si>
    <t>1812-COSMO-AR2018-Web</t>
  </si>
  <si>
    <t>2312-Cosmo-Pharmaceuticals-NV-_Annual-Report_22284-AR_YE23_V46</t>
  </si>
  <si>
    <t>annual-report-2021</t>
  </si>
  <si>
    <t>annual-report-2022-compresso</t>
  </si>
  <si>
    <t>Annual_Report_Cosmo_2015</t>
  </si>
  <si>
    <t>Cosmo-Pharmaceuticals-NV-Annual-Report-2019</t>
  </si>
  <si>
    <t>cosmo-pharmaceuticals-NV-annual-report-2020</t>
  </si>
  <si>
    <t>CosmoPharmaceuticals_AR_2017_web</t>
  </si>
  <si>
    <t>Emmi AG</t>
  </si>
  <si>
    <t>emmi_annual_report_2014</t>
  </si>
  <si>
    <t>emmi_annual_report_2015</t>
  </si>
  <si>
    <t>Emmi_Annual_Report_2016</t>
  </si>
  <si>
    <t>Emmi_AR17_en</t>
  </si>
  <si>
    <t>Emmi_AR18</t>
  </si>
  <si>
    <t>Emmi_AR19</t>
  </si>
  <si>
    <t>Emmi_AR20</t>
  </si>
  <si>
    <t>Emmi_AR21</t>
  </si>
  <si>
    <t>Emmi_AR22</t>
  </si>
  <si>
    <t>Emmi_AR23</t>
  </si>
  <si>
    <t>Evolva Holding SA</t>
  </si>
  <si>
    <t>20220310_Evolva_Annual_Report_2021</t>
  </si>
  <si>
    <t>Evolva-AR16-EN</t>
  </si>
  <si>
    <t>Evolva-AR17-EN</t>
  </si>
  <si>
    <t>Evolva-AR18-EN</t>
  </si>
  <si>
    <t>Evolva_annual_report_19_finweb_1105</t>
  </si>
  <si>
    <t>Evolva_Annual_Report_2020_finweb_single-pages</t>
  </si>
  <si>
    <t>Evolva_Annual_Report_2022_finwebneu2</t>
  </si>
  <si>
    <t>Gotion High-Tech Co., Ltd</t>
  </si>
  <si>
    <t>Kardex Holding AG</t>
  </si>
  <si>
    <t>Annual Report 2021_EN_Final_-1</t>
  </si>
  <si>
    <t>Kardex Annual Report 2022</t>
  </si>
  <si>
    <t>Kardex_Annual Report 2020_final</t>
  </si>
  <si>
    <t>Kardex_Annual_Report_-_2017</t>
  </si>
  <si>
    <t>Kardex_Annual_Report_2015_englisch_Web_0803</t>
  </si>
  <si>
    <t>Kardex_Annual_Report_2016</t>
  </si>
  <si>
    <t>Kardex_Annual_Report_2018_final</t>
  </si>
  <si>
    <t>Kardex_Annual_Report_2019</t>
  </si>
  <si>
    <t>Kuros Biosciences Ltd</t>
  </si>
  <si>
    <t>Annual-report-2015-05-2020</t>
  </si>
  <si>
    <t>Annual-Report-2016-05-2020</t>
  </si>
  <si>
    <t>Final_Kuros-2017-Annual-Report</t>
  </si>
  <si>
    <t>Kuros-Annual-Report-2022</t>
  </si>
  <si>
    <t>Kuros-Annual-Report-2023</t>
  </si>
  <si>
    <t>Kuros_Annual-Report-2019_FINAL-1</t>
  </si>
  <si>
    <t>Kuros_Annual-Report-2020-1</t>
  </si>
  <si>
    <t>Kuros_Annual_Report_2018</t>
  </si>
  <si>
    <t>Molecular Partners AG</t>
  </si>
  <si>
    <t>20190315_MP_Annual Report_2018</t>
  </si>
  <si>
    <t>20210226-mp-annual-report-2020</t>
  </si>
  <si>
    <t>2022031_Annual Report 2021 Molecular Partners</t>
  </si>
  <si>
    <t>annual-report-fy2019</t>
  </si>
  <si>
    <t>ar-fy2016</t>
  </si>
  <si>
    <t>Molecular Partners_Annual Report 2022</t>
  </si>
  <si>
    <t>mp-2017-annual-report-web</t>
  </si>
  <si>
    <t xml:space="preserve">MP_Final_Annual Report 2023 </t>
  </si>
  <si>
    <t>Newron Pharmaceuticals S.p.A</t>
  </si>
  <si>
    <t>ANNUAL_REPORT_2016</t>
  </si>
  <si>
    <t>ANNUAL_REPORT_2018</t>
  </si>
  <si>
    <t>AR2015</t>
  </si>
  <si>
    <t>AR2019</t>
  </si>
  <si>
    <t>AR20_Final</t>
  </si>
  <si>
    <t>AR21_final</t>
  </si>
  <si>
    <t>AR_2017</t>
  </si>
  <si>
    <t>Newron Pharmaceuticals S</t>
  </si>
  <si>
    <t>Newron_Annual Report 2022_final</t>
  </si>
  <si>
    <t>Newron_Annual Report 2023_final_web</t>
  </si>
  <si>
    <t>Spexis Ltd</t>
  </si>
  <si>
    <t>Annual Report 2023 (</t>
  </si>
  <si>
    <t>UBS Group AG</t>
  </si>
  <si>
    <t>20210305-mr-ubs-annual-report-2020-en</t>
  </si>
  <si>
    <t>annual-report-group-2014-en</t>
  </si>
  <si>
    <t>annual-report-ubs-group-2023</t>
  </si>
  <si>
    <t>full-report-ubs-group-ag-and-ubs-ag-consolidated-2022-en</t>
  </si>
  <si>
    <t>full-report-ubs-group-ag-consolidated-2017-en</t>
  </si>
  <si>
    <t>full-report-ubs-group-ag-consolidated-2018-en</t>
  </si>
  <si>
    <t>full-report-ubs-group-ag-consolidated-2019-en</t>
  </si>
  <si>
    <t>ubs-group-2015-en</t>
  </si>
  <si>
    <t>ubs-group-2016-en</t>
  </si>
  <si>
    <t>Xlife Sciences AG</t>
  </si>
  <si>
    <t>April 20, 2023 Annual Report 2022</t>
  </si>
  <si>
    <t>April 23, 2024 Annual Report 2023</t>
  </si>
  <si>
    <t>April 29, 2022 Annual Report 2021</t>
  </si>
  <si>
    <t>May 29, 2020 Annual statement 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</si>
</sst>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1E1EF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0" fontId="0" fillId="2" borderId="0" xfId="0" applyFill="1" applyAlignment="1"/>
    <xf numFmtId="0" fontId="0" fillId="0" borderId="0" xfId="0" applyFont="1" applyFill="1" applyAlignment="1"/>
    <xf numFmtId="176" fontId="0" fillId="0" borderId="0" xfId="0" applyNumberForma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176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28"/>
  <sheetViews>
    <sheetView tabSelected="1" zoomScale="70" zoomScaleNormal="70" workbookViewId="0">
      <pane ySplit="1" topLeftCell="A871" activePane="bottomLeft" state="frozen"/>
      <selection/>
      <selection pane="bottomLeft" activeCell="P950" sqref="P950"/>
    </sheetView>
  </sheetViews>
  <sheetFormatPr defaultColWidth="9" defaultRowHeight="14"/>
  <cols>
    <col min="1" max="1" width="35.7272727272727" style="1" customWidth="1"/>
    <col min="2" max="2" width="42.3363636363636" style="1" hidden="1" customWidth="1"/>
    <col min="3" max="3" width="8.09090909090909" style="2" customWidth="1"/>
    <col min="4" max="12" width="13.5545454545455" style="1" customWidth="1"/>
    <col min="13" max="13" width="13.5545454545455" style="3" customWidth="1"/>
    <col min="14" max="20" width="13.5545454545455" style="1" customWidth="1"/>
    <col min="21" max="21" width="15.1818181818182" style="1"/>
  </cols>
  <sheetData>
    <row r="1" spans="1:21">
      <c r="A1" s="1" t="s">
        <v>0</v>
      </c>
      <c r="B1" s="1" t="s">
        <v>1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 s="1" t="s">
        <v>21</v>
      </c>
      <c r="C2" s="1" t="s">
        <v>22</v>
      </c>
      <c r="D2" s="1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4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f t="shared" ref="S2:S65" si="0">D2*2+E2*2+F2*2+G2*1+H2*2+I2*2+J2*2+K2*2+L2*2+M2*2+N2*2+O2*2+P2*2+Q2*2+R2*2</f>
        <v>10</v>
      </c>
      <c r="T2" s="1">
        <v>65735</v>
      </c>
      <c r="U2" s="5">
        <f t="shared" ref="U2:U65" si="1">S2/T2</f>
        <v>0.000152125960295124</v>
      </c>
    </row>
    <row r="3" spans="1:21">
      <c r="A3" s="1" t="s">
        <v>20</v>
      </c>
      <c r="B3" s="1" t="s">
        <v>23</v>
      </c>
      <c r="C3" s="1" t="s">
        <v>24</v>
      </c>
      <c r="D3" s="1">
        <v>1</v>
      </c>
      <c r="E3" s="1">
        <v>0</v>
      </c>
      <c r="F3" s="1">
        <v>0</v>
      </c>
      <c r="G3" s="1">
        <v>2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4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f t="shared" si="0"/>
        <v>6</v>
      </c>
      <c r="T3" s="1">
        <v>65071</v>
      </c>
      <c r="U3" s="5">
        <f t="shared" si="1"/>
        <v>9.22069739207942e-5</v>
      </c>
    </row>
    <row r="4" spans="1:21">
      <c r="A4" s="1" t="s">
        <v>20</v>
      </c>
      <c r="B4" s="1" t="s">
        <v>25</v>
      </c>
      <c r="C4" s="1" t="s">
        <v>24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4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f t="shared" si="0"/>
        <v>0</v>
      </c>
      <c r="T4" s="1">
        <v>36828</v>
      </c>
      <c r="U4" s="5">
        <f t="shared" si="1"/>
        <v>0</v>
      </c>
    </row>
    <row r="5" spans="1:21">
      <c r="A5" s="1" t="s">
        <v>20</v>
      </c>
      <c r="B5" s="1" t="s">
        <v>26</v>
      </c>
      <c r="C5" s="1" t="s">
        <v>27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4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f t="shared" si="0"/>
        <v>14</v>
      </c>
      <c r="T5" s="1">
        <v>60574</v>
      </c>
      <c r="U5" s="5">
        <f t="shared" si="1"/>
        <v>0.000231122263677485</v>
      </c>
    </row>
    <row r="6" spans="1:21">
      <c r="A6" s="1" t="s">
        <v>20</v>
      </c>
      <c r="B6" s="1" t="s">
        <v>28</v>
      </c>
      <c r="C6" s="1" t="s">
        <v>27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4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f t="shared" si="0"/>
        <v>0</v>
      </c>
      <c r="T6" s="1">
        <v>38454</v>
      </c>
      <c r="U6" s="5">
        <f t="shared" si="1"/>
        <v>0</v>
      </c>
    </row>
    <row r="7" spans="1:21">
      <c r="A7" s="1" t="s">
        <v>20</v>
      </c>
      <c r="B7" s="1" t="s">
        <v>29</v>
      </c>
      <c r="C7" s="1" t="s">
        <v>30</v>
      </c>
      <c r="D7" s="1">
        <v>2</v>
      </c>
      <c r="E7" s="1">
        <v>0</v>
      </c>
      <c r="F7" s="1">
        <v>0</v>
      </c>
      <c r="G7" s="1">
        <v>7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4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f t="shared" si="0"/>
        <v>13</v>
      </c>
      <c r="T7" s="1">
        <v>72145</v>
      </c>
      <c r="U7" s="5">
        <f t="shared" si="1"/>
        <v>0.000180192667544528</v>
      </c>
    </row>
    <row r="8" spans="1:21">
      <c r="A8" s="1" t="s">
        <v>20</v>
      </c>
      <c r="B8" s="1" t="s">
        <v>31</v>
      </c>
      <c r="C8" s="1" t="s">
        <v>30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4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f t="shared" si="0"/>
        <v>2</v>
      </c>
      <c r="T8" s="1">
        <v>55034</v>
      </c>
      <c r="U8" s="5">
        <f t="shared" si="1"/>
        <v>3.63411709125268e-5</v>
      </c>
    </row>
    <row r="9" spans="1:21">
      <c r="A9" s="1" t="s">
        <v>20</v>
      </c>
      <c r="B9" s="1" t="s">
        <v>32</v>
      </c>
      <c r="C9" s="1" t="s">
        <v>33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4">
        <v>0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f t="shared" si="0"/>
        <v>6</v>
      </c>
      <c r="T9" s="1">
        <v>55573</v>
      </c>
      <c r="U9" s="5">
        <f t="shared" si="1"/>
        <v>0.000107966098645025</v>
      </c>
    </row>
    <row r="10" spans="1:21">
      <c r="A10" s="1" t="s">
        <v>20</v>
      </c>
      <c r="B10" s="1" t="s">
        <v>34</v>
      </c>
      <c r="C10" s="1" t="s">
        <v>33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4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f t="shared" si="0"/>
        <v>0</v>
      </c>
      <c r="T10" s="1">
        <v>43440</v>
      </c>
      <c r="U10" s="5">
        <f t="shared" si="1"/>
        <v>0</v>
      </c>
    </row>
    <row r="11" spans="1:21">
      <c r="A11" s="1" t="s">
        <v>20</v>
      </c>
      <c r="B11" s="1" t="s">
        <v>35</v>
      </c>
      <c r="C11" s="1" t="s">
        <v>36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4">
        <v>0</v>
      </c>
      <c r="N11" s="1">
        <v>0</v>
      </c>
      <c r="O11" s="1">
        <v>0</v>
      </c>
      <c r="P11" s="1">
        <v>0</v>
      </c>
      <c r="Q11" s="1">
        <v>0</v>
      </c>
      <c r="R11" s="1">
        <v>2</v>
      </c>
      <c r="S11" s="1">
        <f t="shared" si="0"/>
        <v>8</v>
      </c>
      <c r="T11" s="1">
        <v>54961</v>
      </c>
      <c r="U11" s="5">
        <f t="shared" si="1"/>
        <v>0.000145557759138298</v>
      </c>
    </row>
    <row r="12" spans="1:21">
      <c r="A12" s="1" t="s">
        <v>20</v>
      </c>
      <c r="B12" s="1" t="s">
        <v>37</v>
      </c>
      <c r="C12" s="1" t="s">
        <v>36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4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f t="shared" si="0"/>
        <v>0</v>
      </c>
      <c r="T12" s="1">
        <v>43482</v>
      </c>
      <c r="U12" s="5">
        <f t="shared" si="1"/>
        <v>0</v>
      </c>
    </row>
    <row r="13" spans="1:21">
      <c r="A13" s="1" t="s">
        <v>20</v>
      </c>
      <c r="B13" s="1" t="s">
        <v>38</v>
      </c>
      <c r="C13" s="1" t="s">
        <v>39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4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f t="shared" si="0"/>
        <v>0</v>
      </c>
      <c r="T13" s="1">
        <v>47557</v>
      </c>
      <c r="U13" s="5">
        <f t="shared" si="1"/>
        <v>0</v>
      </c>
    </row>
    <row r="14" spans="1:21">
      <c r="A14" s="1" t="s">
        <v>20</v>
      </c>
      <c r="B14" s="1" t="s">
        <v>40</v>
      </c>
      <c r="C14" s="1" t="s">
        <v>41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3</v>
      </c>
      <c r="K14" s="1">
        <v>0</v>
      </c>
      <c r="L14" s="1">
        <v>0</v>
      </c>
      <c r="M14" s="4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f t="shared" si="0"/>
        <v>6</v>
      </c>
      <c r="T14" s="1">
        <v>54822</v>
      </c>
      <c r="U14" s="5">
        <f t="shared" si="1"/>
        <v>0.000109445113275692</v>
      </c>
    </row>
    <row r="15" spans="1:21">
      <c r="A15" s="1" t="s">
        <v>20</v>
      </c>
      <c r="B15" s="1" t="s">
        <v>42</v>
      </c>
      <c r="C15" s="1" t="s">
        <v>43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3</v>
      </c>
      <c r="K15" s="1">
        <v>0</v>
      </c>
      <c r="L15" s="1">
        <v>0</v>
      </c>
      <c r="M15" s="4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f t="shared" si="0"/>
        <v>6</v>
      </c>
      <c r="T15" s="1">
        <v>50254</v>
      </c>
      <c r="U15" s="5">
        <f t="shared" si="1"/>
        <v>0.000119393481115931</v>
      </c>
    </row>
    <row r="16" spans="1:21">
      <c r="A16" s="1" t="s">
        <v>20</v>
      </c>
      <c r="B16" s="1" t="s">
        <v>44</v>
      </c>
      <c r="C16" s="1" t="s">
        <v>45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3</v>
      </c>
      <c r="K16" s="1">
        <v>0</v>
      </c>
      <c r="L16" s="1">
        <v>0</v>
      </c>
      <c r="M16" s="4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f t="shared" si="0"/>
        <v>6</v>
      </c>
      <c r="T16" s="1">
        <v>54841</v>
      </c>
      <c r="U16" s="5">
        <f t="shared" si="1"/>
        <v>0.000109407195346547</v>
      </c>
    </row>
    <row r="17" spans="1:21">
      <c r="A17" s="1" t="s">
        <v>20</v>
      </c>
      <c r="B17" s="1" t="s">
        <v>46</v>
      </c>
      <c r="C17" s="1" t="s">
        <v>47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4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f t="shared" si="0"/>
        <v>0</v>
      </c>
      <c r="T17" s="1">
        <v>56748</v>
      </c>
      <c r="U17" s="5">
        <f t="shared" si="1"/>
        <v>0</v>
      </c>
    </row>
    <row r="18" spans="1:21">
      <c r="A18" s="1" t="s">
        <v>48</v>
      </c>
      <c r="B18" s="1" t="s">
        <v>49</v>
      </c>
      <c r="C18" s="1" t="s">
        <v>33</v>
      </c>
      <c r="D18" s="1">
        <v>1</v>
      </c>
      <c r="E18" s="1">
        <v>0</v>
      </c>
      <c r="F18" s="1">
        <v>0</v>
      </c>
      <c r="G18" s="1">
        <v>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4">
        <v>0</v>
      </c>
      <c r="N18" s="1">
        <v>1</v>
      </c>
      <c r="O18" s="1">
        <v>0</v>
      </c>
      <c r="P18" s="1">
        <v>0</v>
      </c>
      <c r="Q18" s="1">
        <v>0</v>
      </c>
      <c r="R18" s="1">
        <v>20</v>
      </c>
      <c r="S18" s="1">
        <f t="shared" si="0"/>
        <v>47</v>
      </c>
      <c r="T18" s="1">
        <v>60615</v>
      </c>
      <c r="U18" s="5">
        <f t="shared" si="1"/>
        <v>0.000775385630619484</v>
      </c>
    </row>
    <row r="19" spans="1:21">
      <c r="A19" s="1" t="s">
        <v>48</v>
      </c>
      <c r="B19" s="1" t="s">
        <v>50</v>
      </c>
      <c r="C19" s="1" t="s">
        <v>27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4">
        <v>0</v>
      </c>
      <c r="N19" s="1">
        <v>0</v>
      </c>
      <c r="O19" s="1">
        <v>0</v>
      </c>
      <c r="P19" s="1">
        <v>0</v>
      </c>
      <c r="Q19" s="1">
        <v>0</v>
      </c>
      <c r="R19" s="1">
        <v>13</v>
      </c>
      <c r="S19" s="1">
        <f t="shared" si="0"/>
        <v>26</v>
      </c>
      <c r="T19" s="1">
        <v>49452</v>
      </c>
      <c r="U19" s="5">
        <f t="shared" si="1"/>
        <v>0.000525762355415352</v>
      </c>
    </row>
    <row r="20" spans="1:21">
      <c r="A20" s="1" t="s">
        <v>48</v>
      </c>
      <c r="B20" s="1" t="s">
        <v>51</v>
      </c>
      <c r="C20" s="1" t="s">
        <v>36</v>
      </c>
      <c r="D20" s="1">
        <v>2</v>
      </c>
      <c r="E20" s="1">
        <v>0</v>
      </c>
      <c r="F20" s="1">
        <v>0</v>
      </c>
      <c r="G20" s="1">
        <v>4</v>
      </c>
      <c r="H20" s="1">
        <v>0</v>
      </c>
      <c r="I20" s="1">
        <v>0</v>
      </c>
      <c r="J20" s="1">
        <v>1</v>
      </c>
      <c r="K20" s="1">
        <v>0</v>
      </c>
      <c r="L20" s="1">
        <v>0</v>
      </c>
      <c r="M20" s="4">
        <v>0</v>
      </c>
      <c r="N20" s="1">
        <v>0</v>
      </c>
      <c r="O20" s="1">
        <v>0</v>
      </c>
      <c r="P20" s="1">
        <v>0</v>
      </c>
      <c r="Q20" s="1">
        <v>0</v>
      </c>
      <c r="R20" s="1">
        <v>22</v>
      </c>
      <c r="S20" s="1">
        <f t="shared" si="0"/>
        <v>54</v>
      </c>
      <c r="T20" s="1">
        <v>64060</v>
      </c>
      <c r="U20" s="5">
        <f t="shared" si="1"/>
        <v>0.000842959725257571</v>
      </c>
    </row>
    <row r="21" spans="1:21">
      <c r="A21" s="1" t="s">
        <v>48</v>
      </c>
      <c r="B21" s="1" t="s">
        <v>52</v>
      </c>
      <c r="C21" s="1" t="s">
        <v>22</v>
      </c>
      <c r="D21" s="1">
        <v>2</v>
      </c>
      <c r="E21" s="1">
        <v>0</v>
      </c>
      <c r="F21" s="1">
        <v>0</v>
      </c>
      <c r="G21" s="1">
        <v>3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4">
        <v>0</v>
      </c>
      <c r="N21" s="1">
        <v>0</v>
      </c>
      <c r="O21" s="1">
        <v>0</v>
      </c>
      <c r="P21" s="1">
        <v>0</v>
      </c>
      <c r="Q21" s="1">
        <v>0</v>
      </c>
      <c r="R21" s="1">
        <v>17</v>
      </c>
      <c r="S21" s="1">
        <f t="shared" si="0"/>
        <v>47</v>
      </c>
      <c r="T21" s="1">
        <v>46410</v>
      </c>
      <c r="U21" s="5">
        <f t="shared" si="1"/>
        <v>0.00101271277741866</v>
      </c>
    </row>
    <row r="22" spans="1:21">
      <c r="A22" s="1" t="s">
        <v>48</v>
      </c>
      <c r="B22" s="1" t="s">
        <v>53</v>
      </c>
      <c r="C22" s="1" t="s">
        <v>24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4">
        <v>0</v>
      </c>
      <c r="N22" s="1">
        <v>0</v>
      </c>
      <c r="O22" s="1">
        <v>0</v>
      </c>
      <c r="P22" s="1">
        <v>0</v>
      </c>
      <c r="Q22" s="1">
        <v>0</v>
      </c>
      <c r="R22" s="1">
        <v>16</v>
      </c>
      <c r="S22" s="1">
        <f t="shared" si="0"/>
        <v>32</v>
      </c>
      <c r="T22" s="1">
        <v>53688</v>
      </c>
      <c r="U22" s="5">
        <f t="shared" si="1"/>
        <v>0.000596036358217851</v>
      </c>
    </row>
    <row r="23" spans="1:21">
      <c r="A23" s="1" t="s">
        <v>48</v>
      </c>
      <c r="B23" s="1" t="s">
        <v>54</v>
      </c>
      <c r="C23" s="1" t="s">
        <v>30</v>
      </c>
      <c r="D23" s="1">
        <v>1</v>
      </c>
      <c r="E23" s="1">
        <v>0</v>
      </c>
      <c r="F23" s="1">
        <v>0</v>
      </c>
      <c r="G23" s="1">
        <v>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4">
        <v>0</v>
      </c>
      <c r="N23" s="1">
        <v>0</v>
      </c>
      <c r="O23" s="1">
        <v>0</v>
      </c>
      <c r="P23" s="1">
        <v>0</v>
      </c>
      <c r="Q23" s="1">
        <v>0</v>
      </c>
      <c r="R23" s="1">
        <v>16</v>
      </c>
      <c r="S23" s="1">
        <f t="shared" si="0"/>
        <v>36</v>
      </c>
      <c r="T23" s="1">
        <v>61413</v>
      </c>
      <c r="U23" s="5">
        <f t="shared" si="1"/>
        <v>0.000586195105270871</v>
      </c>
    </row>
    <row r="24" spans="1:21">
      <c r="A24" s="1" t="s">
        <v>48</v>
      </c>
      <c r="B24" s="1" t="s">
        <v>55</v>
      </c>
      <c r="C24" s="1" t="s">
        <v>41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4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f t="shared" si="0"/>
        <v>2</v>
      </c>
      <c r="T24" s="1">
        <v>29446</v>
      </c>
      <c r="U24" s="5">
        <f t="shared" si="1"/>
        <v>6.792094002581e-5</v>
      </c>
    </row>
    <row r="25" spans="1:21">
      <c r="A25" s="1" t="s">
        <v>48</v>
      </c>
      <c r="B25" s="1" t="s">
        <v>56</v>
      </c>
      <c r="C25" s="1" t="s">
        <v>45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4">
        <v>0</v>
      </c>
      <c r="N25" s="1">
        <v>0</v>
      </c>
      <c r="O25" s="1">
        <v>0</v>
      </c>
      <c r="P25" s="1">
        <v>0</v>
      </c>
      <c r="Q25" s="1">
        <v>0</v>
      </c>
      <c r="R25" s="1">
        <v>7</v>
      </c>
      <c r="S25" s="1">
        <f t="shared" si="0"/>
        <v>16</v>
      </c>
      <c r="T25" s="1">
        <v>40115</v>
      </c>
      <c r="U25" s="5">
        <f t="shared" si="1"/>
        <v>0.000398853296771781</v>
      </c>
    </row>
    <row r="26" spans="1:21">
      <c r="A26" s="1" t="s">
        <v>48</v>
      </c>
      <c r="B26" s="1" t="s">
        <v>57</v>
      </c>
      <c r="C26" s="1" t="s">
        <v>47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4">
        <v>0</v>
      </c>
      <c r="N26" s="1">
        <v>0</v>
      </c>
      <c r="O26" s="1">
        <v>0</v>
      </c>
      <c r="P26" s="1">
        <v>0</v>
      </c>
      <c r="Q26" s="1">
        <v>0</v>
      </c>
      <c r="R26" s="1">
        <v>10</v>
      </c>
      <c r="S26" s="1">
        <f t="shared" si="0"/>
        <v>22</v>
      </c>
      <c r="T26" s="1">
        <v>46830</v>
      </c>
      <c r="U26" s="5">
        <f t="shared" si="1"/>
        <v>0.000469784326286568</v>
      </c>
    </row>
    <row r="27" spans="1:21">
      <c r="A27" s="1" t="s">
        <v>48</v>
      </c>
      <c r="B27" s="1" t="s">
        <v>58</v>
      </c>
      <c r="C27" s="1" t="s">
        <v>43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4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f t="shared" si="0"/>
        <v>2</v>
      </c>
      <c r="T27" s="1">
        <v>39979</v>
      </c>
      <c r="U27" s="5">
        <f t="shared" si="1"/>
        <v>5.0026263788489e-5</v>
      </c>
    </row>
    <row r="28" spans="1:21">
      <c r="A28" s="1" t="s">
        <v>59</v>
      </c>
      <c r="B28" s="1" t="s">
        <v>29</v>
      </c>
      <c r="C28" s="1" t="s">
        <v>30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4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f t="shared" si="0"/>
        <v>0</v>
      </c>
      <c r="T28" s="1">
        <v>26504</v>
      </c>
      <c r="U28" s="5">
        <f t="shared" si="1"/>
        <v>0</v>
      </c>
    </row>
    <row r="29" spans="1:21">
      <c r="A29" s="1" t="s">
        <v>59</v>
      </c>
      <c r="B29" s="1" t="s">
        <v>32</v>
      </c>
      <c r="C29" s="1" t="s">
        <v>33</v>
      </c>
      <c r="D29" s="1">
        <v>2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4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f t="shared" si="0"/>
        <v>6</v>
      </c>
      <c r="T29" s="1">
        <v>26051</v>
      </c>
      <c r="U29" s="5">
        <f t="shared" si="1"/>
        <v>0.000230317454224406</v>
      </c>
    </row>
    <row r="30" spans="1:21">
      <c r="A30" s="1" t="s">
        <v>59</v>
      </c>
      <c r="B30" s="1" t="s">
        <v>35</v>
      </c>
      <c r="C30" s="1" t="s">
        <v>36</v>
      </c>
      <c r="D30" s="1">
        <v>1</v>
      </c>
      <c r="E30" s="1">
        <v>3</v>
      </c>
      <c r="F30" s="1">
        <v>0</v>
      </c>
      <c r="G30" s="1">
        <v>14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4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f t="shared" si="0"/>
        <v>24</v>
      </c>
      <c r="T30" s="1">
        <v>27478</v>
      </c>
      <c r="U30" s="5">
        <f t="shared" si="1"/>
        <v>0.000873426013538103</v>
      </c>
    </row>
    <row r="31" spans="1:21">
      <c r="A31" s="1" t="s">
        <v>59</v>
      </c>
      <c r="B31" s="1" t="s">
        <v>60</v>
      </c>
      <c r="C31" s="1" t="s">
        <v>41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4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f t="shared" si="0"/>
        <v>0</v>
      </c>
      <c r="T31" s="1">
        <v>25811</v>
      </c>
      <c r="U31" s="5">
        <f t="shared" si="1"/>
        <v>0</v>
      </c>
    </row>
    <row r="32" spans="1:21">
      <c r="A32" s="1" t="s">
        <v>59</v>
      </c>
      <c r="B32" s="1" t="s">
        <v>61</v>
      </c>
      <c r="C32" s="1" t="s">
        <v>43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4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f t="shared" si="0"/>
        <v>0</v>
      </c>
      <c r="T32" s="1">
        <v>27574</v>
      </c>
      <c r="U32" s="5">
        <f t="shared" si="1"/>
        <v>0</v>
      </c>
    </row>
    <row r="33" spans="1:21">
      <c r="A33" s="1" t="s">
        <v>59</v>
      </c>
      <c r="B33" s="1" t="s">
        <v>62</v>
      </c>
      <c r="C33" s="1" t="s">
        <v>45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4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f t="shared" si="0"/>
        <v>0</v>
      </c>
      <c r="T33" s="1">
        <v>27790</v>
      </c>
      <c r="U33" s="5">
        <f t="shared" si="1"/>
        <v>0</v>
      </c>
    </row>
    <row r="34" spans="1:21">
      <c r="A34" s="1" t="s">
        <v>59</v>
      </c>
      <c r="B34" s="1" t="s">
        <v>63</v>
      </c>
      <c r="C34" s="1" t="s">
        <v>47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4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f t="shared" si="0"/>
        <v>0</v>
      </c>
      <c r="T34" s="1">
        <v>38993</v>
      </c>
      <c r="U34" s="5">
        <f t="shared" si="1"/>
        <v>0</v>
      </c>
    </row>
    <row r="35" spans="1:21">
      <c r="A35" s="1" t="s">
        <v>59</v>
      </c>
      <c r="B35" s="1" t="s">
        <v>64</v>
      </c>
      <c r="C35" s="1" t="s">
        <v>22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4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f t="shared" si="0"/>
        <v>0</v>
      </c>
      <c r="T35" s="1">
        <v>31634</v>
      </c>
      <c r="U35" s="5">
        <f t="shared" si="1"/>
        <v>0</v>
      </c>
    </row>
    <row r="36" spans="1:21">
      <c r="A36" s="1" t="s">
        <v>59</v>
      </c>
      <c r="B36" s="1" t="s">
        <v>65</v>
      </c>
      <c r="C36" s="1" t="s">
        <v>24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4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f t="shared" si="0"/>
        <v>2</v>
      </c>
      <c r="T36" s="1">
        <v>30627</v>
      </c>
      <c r="U36" s="5">
        <f t="shared" si="1"/>
        <v>6.53018578378555e-5</v>
      </c>
    </row>
    <row r="37" spans="1:21">
      <c r="A37" s="1" t="s">
        <v>59</v>
      </c>
      <c r="B37" s="1" t="s">
        <v>66</v>
      </c>
      <c r="C37" s="1" t="s">
        <v>27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4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f t="shared" si="0"/>
        <v>0</v>
      </c>
      <c r="T37" s="1">
        <v>26557</v>
      </c>
      <c r="U37" s="5">
        <f t="shared" si="1"/>
        <v>0</v>
      </c>
    </row>
    <row r="38" spans="1:21">
      <c r="A38" s="1" t="s">
        <v>67</v>
      </c>
      <c r="B38" s="1" t="s">
        <v>68</v>
      </c>
      <c r="C38" s="1" t="s">
        <v>41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4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f t="shared" si="0"/>
        <v>2</v>
      </c>
      <c r="T38" s="1">
        <v>25881</v>
      </c>
      <c r="U38" s="5">
        <f t="shared" si="1"/>
        <v>7.72767667400796e-5</v>
      </c>
    </row>
    <row r="39" spans="1:21">
      <c r="A39" s="1" t="s">
        <v>67</v>
      </c>
      <c r="B39" s="1" t="s">
        <v>69</v>
      </c>
      <c r="C39" s="1" t="s">
        <v>43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4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f t="shared" si="0"/>
        <v>2</v>
      </c>
      <c r="T39" s="1">
        <v>26578</v>
      </c>
      <c r="U39" s="5">
        <f t="shared" si="1"/>
        <v>7.52502069380691e-5</v>
      </c>
    </row>
    <row r="40" spans="1:21">
      <c r="A40" s="1" t="s">
        <v>67</v>
      </c>
      <c r="B40" s="1" t="s">
        <v>70</v>
      </c>
      <c r="C40" s="1" t="s">
        <v>45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4">
        <v>0</v>
      </c>
      <c r="N40" s="1">
        <v>0</v>
      </c>
      <c r="O40" s="1">
        <v>0</v>
      </c>
      <c r="P40" s="1">
        <v>0</v>
      </c>
      <c r="Q40" s="1">
        <v>0</v>
      </c>
      <c r="R40" s="1">
        <v>2</v>
      </c>
      <c r="S40" s="1">
        <f t="shared" si="0"/>
        <v>4</v>
      </c>
      <c r="T40" s="1">
        <v>30543</v>
      </c>
      <c r="U40" s="5">
        <f t="shared" si="1"/>
        <v>0.000130962904757228</v>
      </c>
    </row>
    <row r="41" spans="1:21">
      <c r="A41" s="1" t="s">
        <v>67</v>
      </c>
      <c r="B41" s="1" t="s">
        <v>71</v>
      </c>
      <c r="C41" s="1" t="s">
        <v>47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4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f t="shared" si="0"/>
        <v>2</v>
      </c>
      <c r="T41" s="1">
        <v>30896</v>
      </c>
      <c r="U41" s="5">
        <f t="shared" si="1"/>
        <v>6.47332988089073e-5</v>
      </c>
    </row>
    <row r="42" spans="1:21">
      <c r="A42" s="1" t="s">
        <v>67</v>
      </c>
      <c r="B42" s="1" t="s">
        <v>72</v>
      </c>
      <c r="C42" s="1" t="s">
        <v>22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4">
        <v>0</v>
      </c>
      <c r="N42" s="1">
        <v>0</v>
      </c>
      <c r="O42" s="1">
        <v>0</v>
      </c>
      <c r="P42" s="1">
        <v>0</v>
      </c>
      <c r="Q42" s="1">
        <v>0</v>
      </c>
      <c r="R42" s="1">
        <v>1</v>
      </c>
      <c r="S42" s="1">
        <f t="shared" si="0"/>
        <v>2</v>
      </c>
      <c r="T42" s="1">
        <v>29248</v>
      </c>
      <c r="U42" s="5">
        <f t="shared" si="1"/>
        <v>6.83807439824945e-5</v>
      </c>
    </row>
    <row r="43" spans="1:21">
      <c r="A43" s="1" t="s">
        <v>67</v>
      </c>
      <c r="B43" s="1" t="s">
        <v>73</v>
      </c>
      <c r="C43" s="1" t="s">
        <v>24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4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f t="shared" si="0"/>
        <v>4</v>
      </c>
      <c r="T43" s="1">
        <v>26943</v>
      </c>
      <c r="U43" s="5">
        <f t="shared" si="1"/>
        <v>0.00014846156701184</v>
      </c>
    </row>
    <row r="44" spans="1:21">
      <c r="A44" s="1" t="s">
        <v>67</v>
      </c>
      <c r="B44" s="1" t="s">
        <v>74</v>
      </c>
      <c r="C44" s="1" t="s">
        <v>27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4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f t="shared" si="0"/>
        <v>2</v>
      </c>
      <c r="T44" s="1">
        <v>26282</v>
      </c>
      <c r="U44" s="5">
        <f t="shared" si="1"/>
        <v>7.60977094589453e-5</v>
      </c>
    </row>
    <row r="45" spans="1:21">
      <c r="A45" s="1" t="s">
        <v>67</v>
      </c>
      <c r="B45" s="1" t="s">
        <v>75</v>
      </c>
      <c r="C45" s="1" t="s">
        <v>30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4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f t="shared" si="0"/>
        <v>2</v>
      </c>
      <c r="T45" s="1">
        <v>26028</v>
      </c>
      <c r="U45" s="5">
        <f t="shared" si="1"/>
        <v>7.68403258029814e-5</v>
      </c>
    </row>
    <row r="46" spans="1:21">
      <c r="A46" s="1" t="s">
        <v>67</v>
      </c>
      <c r="B46" s="1" t="s">
        <v>76</v>
      </c>
      <c r="C46" s="1" t="s">
        <v>33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4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f t="shared" si="0"/>
        <v>2</v>
      </c>
      <c r="T46" s="1">
        <v>29078</v>
      </c>
      <c r="U46" s="5">
        <f t="shared" si="1"/>
        <v>6.87805213563519e-5</v>
      </c>
    </row>
    <row r="47" spans="1:21">
      <c r="A47" s="1" t="s">
        <v>67</v>
      </c>
      <c r="B47" s="1" t="s">
        <v>77</v>
      </c>
      <c r="C47" s="1" t="s">
        <v>36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3</v>
      </c>
      <c r="L47" s="1">
        <v>0</v>
      </c>
      <c r="M47" s="4">
        <v>0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f t="shared" si="0"/>
        <v>8</v>
      </c>
      <c r="T47" s="1">
        <v>36786</v>
      </c>
      <c r="U47" s="5">
        <f t="shared" si="1"/>
        <v>0.00021747403903659</v>
      </c>
    </row>
    <row r="48" spans="1:21">
      <c r="A48" s="1" t="s">
        <v>78</v>
      </c>
      <c r="B48" s="1" t="s">
        <v>79</v>
      </c>
      <c r="C48" s="1" t="s">
        <v>36</v>
      </c>
      <c r="D48" s="1">
        <v>9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4">
        <v>0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f t="shared" si="0"/>
        <v>22</v>
      </c>
      <c r="T48" s="1">
        <v>85195</v>
      </c>
      <c r="U48" s="5">
        <f t="shared" si="1"/>
        <v>0.00025823111684958</v>
      </c>
    </row>
    <row r="49" spans="1:21">
      <c r="A49" s="1" t="s">
        <v>78</v>
      </c>
      <c r="B49" s="1" t="s">
        <v>80</v>
      </c>
      <c r="C49" s="1" t="s">
        <v>24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4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1">
        <f t="shared" si="0"/>
        <v>2</v>
      </c>
      <c r="T49" s="1">
        <v>86626</v>
      </c>
      <c r="U49" s="5">
        <f t="shared" si="1"/>
        <v>2.30877565626948e-5</v>
      </c>
    </row>
    <row r="50" spans="1:21">
      <c r="A50" s="1" t="s">
        <v>78</v>
      </c>
      <c r="B50" s="1" t="s">
        <v>81</v>
      </c>
      <c r="C50" s="1" t="s">
        <v>27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4">
        <v>0</v>
      </c>
      <c r="N50" s="1">
        <v>0</v>
      </c>
      <c r="O50" s="1">
        <v>0</v>
      </c>
      <c r="P50" s="1">
        <v>0</v>
      </c>
      <c r="Q50" s="1">
        <v>0</v>
      </c>
      <c r="R50" s="1">
        <v>1</v>
      </c>
      <c r="S50" s="1">
        <f t="shared" si="0"/>
        <v>4</v>
      </c>
      <c r="T50" s="1">
        <v>85180</v>
      </c>
      <c r="U50" s="5">
        <f t="shared" si="1"/>
        <v>4.69593801361822e-5</v>
      </c>
    </row>
    <row r="51" spans="1:21">
      <c r="A51" s="1" t="s">
        <v>78</v>
      </c>
      <c r="B51" s="1" t="s">
        <v>82</v>
      </c>
      <c r="C51" s="1" t="s">
        <v>30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4">
        <v>0</v>
      </c>
      <c r="N51" s="1">
        <v>0</v>
      </c>
      <c r="O51" s="1">
        <v>0</v>
      </c>
      <c r="P51" s="1">
        <v>0</v>
      </c>
      <c r="Q51" s="1">
        <v>0</v>
      </c>
      <c r="R51" s="1">
        <v>1</v>
      </c>
      <c r="S51" s="1">
        <f t="shared" si="0"/>
        <v>2</v>
      </c>
      <c r="T51" s="1">
        <v>80386</v>
      </c>
      <c r="U51" s="5">
        <f t="shared" si="1"/>
        <v>2.48799542208842e-5</v>
      </c>
    </row>
    <row r="52" spans="1:21">
      <c r="A52" s="1" t="s">
        <v>78</v>
      </c>
      <c r="B52" s="1" t="s">
        <v>83</v>
      </c>
      <c r="C52" s="1" t="s">
        <v>33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4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f t="shared" si="0"/>
        <v>2</v>
      </c>
      <c r="T52" s="1">
        <v>81699</v>
      </c>
      <c r="U52" s="5">
        <f t="shared" si="1"/>
        <v>2.44801037956401e-5</v>
      </c>
    </row>
    <row r="53" spans="1:21">
      <c r="A53" s="1" t="s">
        <v>84</v>
      </c>
      <c r="B53" s="1" t="s">
        <v>85</v>
      </c>
      <c r="C53" s="1" t="s">
        <v>24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4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f t="shared" si="0"/>
        <v>0</v>
      </c>
      <c r="T53" s="1">
        <v>36529</v>
      </c>
      <c r="U53" s="5">
        <f t="shared" si="1"/>
        <v>0</v>
      </c>
    </row>
    <row r="54" spans="1:21">
      <c r="A54" s="1" t="s">
        <v>84</v>
      </c>
      <c r="B54" s="1" t="s">
        <v>86</v>
      </c>
      <c r="C54" s="1" t="s">
        <v>47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4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f t="shared" si="0"/>
        <v>0</v>
      </c>
      <c r="T54" s="1">
        <v>31907</v>
      </c>
      <c r="U54" s="5">
        <f t="shared" si="1"/>
        <v>0</v>
      </c>
    </row>
    <row r="55" spans="1:21">
      <c r="A55" s="1" t="s">
        <v>84</v>
      </c>
      <c r="B55" s="1" t="s">
        <v>87</v>
      </c>
      <c r="C55" s="1" t="s">
        <v>22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4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f t="shared" si="0"/>
        <v>0</v>
      </c>
      <c r="T55" s="1">
        <v>33992</v>
      </c>
      <c r="U55" s="5">
        <f t="shared" si="1"/>
        <v>0</v>
      </c>
    </row>
    <row r="56" spans="1:21">
      <c r="A56" s="1" t="s">
        <v>84</v>
      </c>
      <c r="B56" s="1" t="s">
        <v>88</v>
      </c>
      <c r="C56" s="1" t="s">
        <v>36</v>
      </c>
      <c r="D56" s="1">
        <v>1</v>
      </c>
      <c r="E56" s="1">
        <v>2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4">
        <v>0</v>
      </c>
      <c r="N56" s="1">
        <v>0</v>
      </c>
      <c r="O56" s="1">
        <v>0</v>
      </c>
      <c r="P56" s="1">
        <v>0</v>
      </c>
      <c r="Q56" s="1">
        <v>0</v>
      </c>
      <c r="R56" s="1">
        <v>2</v>
      </c>
      <c r="S56" s="1">
        <f t="shared" si="0"/>
        <v>10</v>
      </c>
      <c r="T56" s="1">
        <v>57750</v>
      </c>
      <c r="U56" s="5">
        <f t="shared" si="1"/>
        <v>0.000173160173160173</v>
      </c>
    </row>
    <row r="57" spans="1:21">
      <c r="A57" s="1" t="s">
        <v>84</v>
      </c>
      <c r="B57" s="1" t="s">
        <v>89</v>
      </c>
      <c r="C57" s="1" t="s">
        <v>30</v>
      </c>
      <c r="D57" s="1">
        <v>1</v>
      </c>
      <c r="E57" s="1">
        <v>1</v>
      </c>
      <c r="F57" s="1">
        <v>0</v>
      </c>
      <c r="G57" s="1">
        <v>1</v>
      </c>
      <c r="H57" s="1">
        <v>1</v>
      </c>
      <c r="I57" s="1">
        <v>1</v>
      </c>
      <c r="J57" s="1">
        <v>0</v>
      </c>
      <c r="K57" s="1">
        <v>0</v>
      </c>
      <c r="L57" s="1">
        <v>0</v>
      </c>
      <c r="M57" s="4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f t="shared" si="0"/>
        <v>9</v>
      </c>
      <c r="T57" s="1">
        <v>49232</v>
      </c>
      <c r="U57" s="5">
        <f t="shared" si="1"/>
        <v>0.000182807929801755</v>
      </c>
    </row>
    <row r="58" spans="1:21">
      <c r="A58" s="1" t="s">
        <v>84</v>
      </c>
      <c r="B58" s="1" t="s">
        <v>90</v>
      </c>
      <c r="C58" s="1" t="s">
        <v>33</v>
      </c>
      <c r="D58" s="1">
        <v>1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4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f t="shared" si="0"/>
        <v>4</v>
      </c>
      <c r="T58" s="1">
        <v>50779</v>
      </c>
      <c r="U58" s="5">
        <f t="shared" si="1"/>
        <v>7.87727210067154e-5</v>
      </c>
    </row>
    <row r="59" spans="1:21">
      <c r="A59" s="1" t="s">
        <v>84</v>
      </c>
      <c r="B59" s="1" t="s">
        <v>91</v>
      </c>
      <c r="C59" s="1" t="s">
        <v>41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4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f t="shared" si="0"/>
        <v>0</v>
      </c>
      <c r="T59" s="1">
        <v>27053</v>
      </c>
      <c r="U59" s="5">
        <f t="shared" si="1"/>
        <v>0</v>
      </c>
    </row>
    <row r="60" spans="1:21">
      <c r="A60" s="1" t="s">
        <v>84</v>
      </c>
      <c r="B60" s="1" t="s">
        <v>92</v>
      </c>
      <c r="C60" s="1" t="s">
        <v>43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4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f t="shared" si="0"/>
        <v>2</v>
      </c>
      <c r="T60" s="1">
        <v>27968</v>
      </c>
      <c r="U60" s="5">
        <f t="shared" si="1"/>
        <v>7.15102974828375e-5</v>
      </c>
    </row>
    <row r="61" spans="1:21">
      <c r="A61" s="1" t="s">
        <v>84</v>
      </c>
      <c r="B61" s="1" t="s">
        <v>93</v>
      </c>
      <c r="C61" s="1" t="s">
        <v>45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4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f t="shared" si="0"/>
        <v>0</v>
      </c>
      <c r="T61" s="1">
        <v>28871</v>
      </c>
      <c r="U61" s="5">
        <f t="shared" si="1"/>
        <v>0</v>
      </c>
    </row>
    <row r="62" spans="1:21">
      <c r="A62" s="1" t="s">
        <v>84</v>
      </c>
      <c r="B62" s="1" t="s">
        <v>94</v>
      </c>
      <c r="C62" s="1" t="s">
        <v>27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4">
        <v>0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f t="shared" si="0"/>
        <v>2</v>
      </c>
      <c r="T62" s="1">
        <v>44027</v>
      </c>
      <c r="U62" s="5">
        <f t="shared" si="1"/>
        <v>4.54266699979558e-5</v>
      </c>
    </row>
    <row r="63" spans="1:21">
      <c r="A63" s="1" t="s">
        <v>95</v>
      </c>
      <c r="B63" s="1" t="s">
        <v>96</v>
      </c>
      <c r="C63" s="1" t="s">
        <v>43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4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f t="shared" si="0"/>
        <v>0</v>
      </c>
      <c r="T63" s="1">
        <v>38554</v>
      </c>
      <c r="U63" s="5">
        <f t="shared" si="1"/>
        <v>0</v>
      </c>
    </row>
    <row r="64" spans="1:21">
      <c r="A64" s="1" t="s">
        <v>95</v>
      </c>
      <c r="B64" s="1" t="s">
        <v>97</v>
      </c>
      <c r="C64" s="1" t="s">
        <v>45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4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f t="shared" si="0"/>
        <v>1</v>
      </c>
      <c r="T64" s="1">
        <v>45263</v>
      </c>
      <c r="U64" s="5">
        <f t="shared" si="1"/>
        <v>2.20931003247686e-5</v>
      </c>
    </row>
    <row r="65" spans="1:21">
      <c r="A65" s="1" t="s">
        <v>95</v>
      </c>
      <c r="B65" s="1" t="s">
        <v>98</v>
      </c>
      <c r="C65" s="1" t="s">
        <v>47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4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f t="shared" si="0"/>
        <v>0</v>
      </c>
      <c r="T65" s="1">
        <v>45685</v>
      </c>
      <c r="U65" s="5">
        <f t="shared" si="1"/>
        <v>0</v>
      </c>
    </row>
    <row r="66" spans="1:21">
      <c r="A66" s="1" t="s">
        <v>95</v>
      </c>
      <c r="B66" s="1" t="s">
        <v>99</v>
      </c>
      <c r="C66" s="1" t="s">
        <v>22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4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f t="shared" ref="S66:S129" si="2">D66*2+E66*2+F66*2+G66*1+H66*2+I66*2+J66*2+K66*2+L66*2+M66*2+N66*2+O66*2+P66*2+Q66*2+R66*2</f>
        <v>0</v>
      </c>
      <c r="T66" s="1">
        <v>46938</v>
      </c>
      <c r="U66" s="5">
        <f t="shared" ref="U66:U129" si="3">S66/T66</f>
        <v>0</v>
      </c>
    </row>
    <row r="67" spans="1:21">
      <c r="A67" s="1" t="s">
        <v>95</v>
      </c>
      <c r="B67" s="1" t="s">
        <v>100</v>
      </c>
      <c r="C67" s="1" t="s">
        <v>24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4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f t="shared" si="2"/>
        <v>0</v>
      </c>
      <c r="T67" s="1">
        <v>45553</v>
      </c>
      <c r="U67" s="5">
        <f t="shared" si="3"/>
        <v>0</v>
      </c>
    </row>
    <row r="68" spans="1:21">
      <c r="A68" s="1" t="s">
        <v>95</v>
      </c>
      <c r="B68" s="1" t="s">
        <v>50</v>
      </c>
      <c r="C68" s="1" t="s">
        <v>27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4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f t="shared" si="2"/>
        <v>0</v>
      </c>
      <c r="T68" s="1">
        <v>54395</v>
      </c>
      <c r="U68" s="5">
        <f t="shared" si="3"/>
        <v>0</v>
      </c>
    </row>
    <row r="69" spans="1:21">
      <c r="A69" s="1" t="s">
        <v>95</v>
      </c>
      <c r="B69" s="1" t="s">
        <v>101</v>
      </c>
      <c r="C69" s="1" t="s">
        <v>30</v>
      </c>
      <c r="D69" s="1">
        <v>1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4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f t="shared" si="2"/>
        <v>3</v>
      </c>
      <c r="T69" s="1">
        <v>61828</v>
      </c>
      <c r="U69" s="5">
        <f t="shared" si="3"/>
        <v>4.8521705376205e-5</v>
      </c>
    </row>
    <row r="70" spans="1:21">
      <c r="A70" s="1" t="s">
        <v>95</v>
      </c>
      <c r="B70" s="1" t="s">
        <v>102</v>
      </c>
      <c r="C70" s="1" t="s">
        <v>33</v>
      </c>
      <c r="D70" s="1">
        <v>2</v>
      </c>
      <c r="E70" s="1">
        <v>1</v>
      </c>
      <c r="F70" s="1">
        <v>0</v>
      </c>
      <c r="G70" s="1">
        <v>2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4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f t="shared" si="2"/>
        <v>8</v>
      </c>
      <c r="T70" s="1">
        <v>59405</v>
      </c>
      <c r="U70" s="5">
        <f t="shared" si="3"/>
        <v>0.00013466879892265</v>
      </c>
    </row>
    <row r="71" spans="1:21">
      <c r="A71" s="1" t="s">
        <v>95</v>
      </c>
      <c r="B71" s="1" t="s">
        <v>51</v>
      </c>
      <c r="C71" s="1" t="s">
        <v>36</v>
      </c>
      <c r="D71" s="1">
        <v>4</v>
      </c>
      <c r="E71" s="1">
        <v>1</v>
      </c>
      <c r="F71" s="1">
        <v>0</v>
      </c>
      <c r="G71" s="1">
        <v>6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4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f t="shared" si="2"/>
        <v>16</v>
      </c>
      <c r="T71" s="1">
        <v>61562</v>
      </c>
      <c r="U71" s="5">
        <f t="shared" si="3"/>
        <v>0.00025990058802508</v>
      </c>
    </row>
    <row r="72" spans="1:21">
      <c r="A72" s="1" t="s">
        <v>103</v>
      </c>
      <c r="B72" s="1" t="s">
        <v>104</v>
      </c>
      <c r="C72" s="1" t="s">
        <v>41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4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f t="shared" si="2"/>
        <v>0</v>
      </c>
      <c r="T72" s="1">
        <v>24512</v>
      </c>
      <c r="U72" s="5">
        <f t="shared" si="3"/>
        <v>0</v>
      </c>
    </row>
    <row r="73" spans="1:21">
      <c r="A73" s="1" t="s">
        <v>103</v>
      </c>
      <c r="B73" s="1" t="s">
        <v>105</v>
      </c>
      <c r="C73" s="1" t="s">
        <v>43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4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f t="shared" si="2"/>
        <v>0</v>
      </c>
      <c r="T73" s="1">
        <v>26264</v>
      </c>
      <c r="U73" s="5">
        <f t="shared" si="3"/>
        <v>0</v>
      </c>
    </row>
    <row r="74" spans="1:21">
      <c r="A74" s="1" t="s">
        <v>103</v>
      </c>
      <c r="B74" s="1" t="s">
        <v>106</v>
      </c>
      <c r="C74" s="1" t="s">
        <v>45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4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f t="shared" si="2"/>
        <v>0</v>
      </c>
      <c r="T74" s="1">
        <v>30549</v>
      </c>
      <c r="U74" s="5">
        <f t="shared" si="3"/>
        <v>0</v>
      </c>
    </row>
    <row r="75" spans="1:21">
      <c r="A75" s="1" t="s">
        <v>103</v>
      </c>
      <c r="B75" s="1" t="s">
        <v>107</v>
      </c>
      <c r="C75" s="1" t="s">
        <v>47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4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f t="shared" si="2"/>
        <v>0</v>
      </c>
      <c r="T75" s="1">
        <v>30336</v>
      </c>
      <c r="U75" s="5">
        <f t="shared" si="3"/>
        <v>0</v>
      </c>
    </row>
    <row r="76" spans="1:21">
      <c r="A76" s="1" t="s">
        <v>103</v>
      </c>
      <c r="B76" s="1" t="s">
        <v>108</v>
      </c>
      <c r="C76" s="1" t="s">
        <v>22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4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f t="shared" si="2"/>
        <v>0</v>
      </c>
      <c r="T76" s="1">
        <v>31055</v>
      </c>
      <c r="U76" s="5">
        <f t="shared" si="3"/>
        <v>0</v>
      </c>
    </row>
    <row r="77" spans="1:21">
      <c r="A77" s="1" t="s">
        <v>103</v>
      </c>
      <c r="B77" s="1" t="s">
        <v>109</v>
      </c>
      <c r="C77" s="1" t="s">
        <v>24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4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f t="shared" si="2"/>
        <v>0</v>
      </c>
      <c r="T77" s="1">
        <v>32970</v>
      </c>
      <c r="U77" s="5">
        <f t="shared" si="3"/>
        <v>0</v>
      </c>
    </row>
    <row r="78" spans="1:21">
      <c r="A78" s="1" t="s">
        <v>103</v>
      </c>
      <c r="B78" s="1" t="s">
        <v>110</v>
      </c>
      <c r="C78" s="1" t="s">
        <v>27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4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f t="shared" si="2"/>
        <v>0</v>
      </c>
      <c r="T78" s="1">
        <v>31758</v>
      </c>
      <c r="U78" s="5">
        <f t="shared" si="3"/>
        <v>0</v>
      </c>
    </row>
    <row r="79" spans="1:21">
      <c r="A79" s="1" t="s">
        <v>103</v>
      </c>
      <c r="B79" s="1" t="s">
        <v>111</v>
      </c>
      <c r="C79" s="1" t="s">
        <v>30</v>
      </c>
      <c r="D79" s="1">
        <v>2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4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f t="shared" si="2"/>
        <v>4</v>
      </c>
      <c r="T79" s="1">
        <v>31545</v>
      </c>
      <c r="U79" s="5">
        <f t="shared" si="3"/>
        <v>0.000126802979870027</v>
      </c>
    </row>
    <row r="80" spans="1:21">
      <c r="A80" s="1" t="s">
        <v>103</v>
      </c>
      <c r="B80" s="1" t="s">
        <v>112</v>
      </c>
      <c r="C80" s="1" t="s">
        <v>33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4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f t="shared" si="2"/>
        <v>0</v>
      </c>
      <c r="T80" s="1">
        <v>33251</v>
      </c>
      <c r="U80" s="5">
        <f t="shared" si="3"/>
        <v>0</v>
      </c>
    </row>
    <row r="81" spans="1:21">
      <c r="A81" s="1" t="s">
        <v>103</v>
      </c>
      <c r="B81" s="1" t="s">
        <v>113</v>
      </c>
      <c r="C81" s="1" t="s">
        <v>36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4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f t="shared" si="2"/>
        <v>0</v>
      </c>
      <c r="T81" s="1">
        <v>38089</v>
      </c>
      <c r="U81" s="5">
        <f t="shared" si="3"/>
        <v>0</v>
      </c>
    </row>
    <row r="82" spans="1:21">
      <c r="A82" s="1" t="s">
        <v>114</v>
      </c>
      <c r="B82" s="1" t="s">
        <v>115</v>
      </c>
      <c r="C82" s="1" t="s">
        <v>27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4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f t="shared" si="2"/>
        <v>0</v>
      </c>
      <c r="T82" s="1">
        <v>26800</v>
      </c>
      <c r="U82" s="5">
        <f t="shared" si="3"/>
        <v>0</v>
      </c>
    </row>
    <row r="83" spans="1:21">
      <c r="A83" s="1" t="s">
        <v>114</v>
      </c>
      <c r="B83" s="1" t="s">
        <v>116</v>
      </c>
      <c r="C83" s="1" t="s">
        <v>41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4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f t="shared" si="2"/>
        <v>0</v>
      </c>
      <c r="T83" s="1">
        <v>24984</v>
      </c>
      <c r="U83" s="5">
        <f t="shared" si="3"/>
        <v>0</v>
      </c>
    </row>
    <row r="84" spans="1:21">
      <c r="A84" s="1" t="s">
        <v>114</v>
      </c>
      <c r="B84" s="1" t="s">
        <v>117</v>
      </c>
      <c r="C84" s="1" t="s">
        <v>43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4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f t="shared" si="2"/>
        <v>0</v>
      </c>
      <c r="T84" s="1">
        <v>25650</v>
      </c>
      <c r="U84" s="5">
        <f t="shared" si="3"/>
        <v>0</v>
      </c>
    </row>
    <row r="85" spans="1:21">
      <c r="A85" s="1" t="s">
        <v>114</v>
      </c>
      <c r="B85" s="1" t="s">
        <v>118</v>
      </c>
      <c r="C85" s="1" t="s">
        <v>45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4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f t="shared" si="2"/>
        <v>0</v>
      </c>
      <c r="T85" s="1">
        <v>26901</v>
      </c>
      <c r="U85" s="5">
        <f t="shared" si="3"/>
        <v>0</v>
      </c>
    </row>
    <row r="86" spans="1:21">
      <c r="A86" s="1" t="s">
        <v>114</v>
      </c>
      <c r="B86" s="1" t="s">
        <v>119</v>
      </c>
      <c r="C86" s="1" t="s">
        <v>47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4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f t="shared" si="2"/>
        <v>0</v>
      </c>
      <c r="T86" s="1">
        <v>25100</v>
      </c>
      <c r="U86" s="5">
        <f t="shared" si="3"/>
        <v>0</v>
      </c>
    </row>
    <row r="87" spans="1:21">
      <c r="A87" s="1" t="s">
        <v>114</v>
      </c>
      <c r="B87" s="1" t="s">
        <v>120</v>
      </c>
      <c r="C87" s="1" t="s">
        <v>22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4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f t="shared" si="2"/>
        <v>0</v>
      </c>
      <c r="T87" s="1">
        <v>25146</v>
      </c>
      <c r="U87" s="5">
        <f t="shared" si="3"/>
        <v>0</v>
      </c>
    </row>
    <row r="88" spans="1:21">
      <c r="A88" s="1" t="s">
        <v>114</v>
      </c>
      <c r="B88" s="1" t="s">
        <v>121</v>
      </c>
      <c r="C88" s="1" t="s">
        <v>24</v>
      </c>
      <c r="D88" s="1">
        <v>2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4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f t="shared" si="2"/>
        <v>4</v>
      </c>
      <c r="T88" s="1">
        <v>24006</v>
      </c>
      <c r="U88" s="5">
        <f t="shared" si="3"/>
        <v>0.000166625010414063</v>
      </c>
    </row>
    <row r="89" spans="1:21">
      <c r="A89" s="1" t="s">
        <v>114</v>
      </c>
      <c r="B89" s="1" t="s">
        <v>122</v>
      </c>
      <c r="C89" s="1" t="s">
        <v>30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4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f t="shared" si="2"/>
        <v>0</v>
      </c>
      <c r="T89" s="1">
        <v>24105</v>
      </c>
      <c r="U89" s="5">
        <f t="shared" si="3"/>
        <v>0</v>
      </c>
    </row>
    <row r="90" spans="1:21">
      <c r="A90" s="1" t="s">
        <v>114</v>
      </c>
      <c r="B90" s="1" t="s">
        <v>123</v>
      </c>
      <c r="C90" s="1" t="s">
        <v>33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0</v>
      </c>
      <c r="M90" s="4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f t="shared" si="2"/>
        <v>2</v>
      </c>
      <c r="T90" s="1">
        <v>24729</v>
      </c>
      <c r="U90" s="5">
        <f t="shared" si="3"/>
        <v>8.08767034655667e-5</v>
      </c>
    </row>
    <row r="91" spans="1:21">
      <c r="A91" s="1" t="s">
        <v>114</v>
      </c>
      <c r="B91" s="1" t="s">
        <v>124</v>
      </c>
      <c r="C91" s="1">
        <v>2023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  <c r="L91" s="1">
        <v>0</v>
      </c>
      <c r="M91" s="4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f t="shared" si="2"/>
        <v>2</v>
      </c>
      <c r="T91" s="1">
        <v>24783</v>
      </c>
      <c r="U91" s="5">
        <f t="shared" si="3"/>
        <v>8.0700480167857e-5</v>
      </c>
    </row>
    <row r="92" spans="1:21">
      <c r="A92" s="1" t="s">
        <v>125</v>
      </c>
      <c r="B92" s="1" t="s">
        <v>126</v>
      </c>
      <c r="C92" s="1" t="s">
        <v>41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4">
        <v>0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  <c r="S92" s="1">
        <f t="shared" si="2"/>
        <v>2</v>
      </c>
      <c r="T92" s="1">
        <v>23753</v>
      </c>
      <c r="U92" s="5">
        <f t="shared" si="3"/>
        <v>8.41998905401423e-5</v>
      </c>
    </row>
    <row r="93" spans="1:21">
      <c r="A93" s="1" t="s">
        <v>125</v>
      </c>
      <c r="B93" s="1" t="s">
        <v>127</v>
      </c>
      <c r="C93" s="1" t="s">
        <v>43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4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f t="shared" si="2"/>
        <v>0</v>
      </c>
      <c r="T93" s="1">
        <v>21460</v>
      </c>
      <c r="U93" s="5">
        <f t="shared" si="3"/>
        <v>0</v>
      </c>
    </row>
    <row r="94" spans="1:21">
      <c r="A94" s="1" t="s">
        <v>125</v>
      </c>
      <c r="B94" s="1" t="s">
        <v>128</v>
      </c>
      <c r="C94" s="1" t="s">
        <v>45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4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f t="shared" si="2"/>
        <v>0</v>
      </c>
      <c r="T94" s="1">
        <v>22024</v>
      </c>
      <c r="U94" s="5">
        <f t="shared" si="3"/>
        <v>0</v>
      </c>
    </row>
    <row r="95" spans="1:21">
      <c r="A95" s="1" t="s">
        <v>125</v>
      </c>
      <c r="B95" s="1" t="s">
        <v>129</v>
      </c>
      <c r="C95" s="1" t="s">
        <v>47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4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f t="shared" si="2"/>
        <v>0</v>
      </c>
      <c r="T95" s="1">
        <v>23285</v>
      </c>
      <c r="U95" s="5">
        <f t="shared" si="3"/>
        <v>0</v>
      </c>
    </row>
    <row r="96" spans="1:21">
      <c r="A96" s="1" t="s">
        <v>125</v>
      </c>
      <c r="B96" s="1" t="s">
        <v>130</v>
      </c>
      <c r="C96" s="1" t="s">
        <v>22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4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f t="shared" si="2"/>
        <v>0</v>
      </c>
      <c r="T96" s="1">
        <v>25535</v>
      </c>
      <c r="U96" s="5">
        <f t="shared" si="3"/>
        <v>0</v>
      </c>
    </row>
    <row r="97" spans="1:21">
      <c r="A97" s="1" t="s">
        <v>125</v>
      </c>
      <c r="B97" s="1" t="s">
        <v>131</v>
      </c>
      <c r="C97" s="1" t="s">
        <v>24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0</v>
      </c>
      <c r="J97" s="1">
        <v>1</v>
      </c>
      <c r="K97" s="1">
        <v>0</v>
      </c>
      <c r="L97" s="1">
        <v>0</v>
      </c>
      <c r="M97" s="4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f t="shared" si="2"/>
        <v>4</v>
      </c>
      <c r="T97" s="1">
        <v>37325</v>
      </c>
      <c r="U97" s="5">
        <f t="shared" si="3"/>
        <v>0.000107166778298727</v>
      </c>
    </row>
    <row r="98" spans="1:21">
      <c r="A98" s="1" t="s">
        <v>125</v>
      </c>
      <c r="B98" s="1" t="s">
        <v>132</v>
      </c>
      <c r="C98" s="1" t="s">
        <v>27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</v>
      </c>
      <c r="K98" s="1">
        <v>0</v>
      </c>
      <c r="L98" s="1">
        <v>0</v>
      </c>
      <c r="M98" s="4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f t="shared" si="2"/>
        <v>2</v>
      </c>
      <c r="T98" s="1">
        <v>42724</v>
      </c>
      <c r="U98" s="5">
        <f t="shared" si="3"/>
        <v>4.68120962456699e-5</v>
      </c>
    </row>
    <row r="99" spans="1:21">
      <c r="A99" s="1" t="s">
        <v>125</v>
      </c>
      <c r="B99" s="1" t="s">
        <v>133</v>
      </c>
      <c r="C99" s="1" t="s">
        <v>30</v>
      </c>
      <c r="D99" s="1">
        <v>0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2</v>
      </c>
      <c r="K99" s="1">
        <v>0</v>
      </c>
      <c r="L99" s="1">
        <v>0</v>
      </c>
      <c r="M99" s="4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f t="shared" si="2"/>
        <v>6</v>
      </c>
      <c r="T99" s="1">
        <v>39755</v>
      </c>
      <c r="U99" s="5">
        <f t="shared" si="3"/>
        <v>0.000150924412023645</v>
      </c>
    </row>
    <row r="100" spans="1:21">
      <c r="A100" s="1" t="s">
        <v>125</v>
      </c>
      <c r="B100" s="1" t="s">
        <v>134</v>
      </c>
      <c r="C100" s="1" t="s">
        <v>33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v>0</v>
      </c>
      <c r="L100" s="1">
        <v>0</v>
      </c>
      <c r="M100" s="4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f t="shared" si="2"/>
        <v>2</v>
      </c>
      <c r="T100" s="1">
        <v>42320</v>
      </c>
      <c r="U100" s="5">
        <f t="shared" si="3"/>
        <v>4.72589792060492e-5</v>
      </c>
    </row>
    <row r="101" spans="1:21">
      <c r="A101" s="1" t="s">
        <v>125</v>
      </c>
      <c r="B101" s="1" t="s">
        <v>135</v>
      </c>
      <c r="C101" s="1" t="s">
        <v>36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1</v>
      </c>
      <c r="K101" s="1">
        <v>0</v>
      </c>
      <c r="L101" s="1">
        <v>0</v>
      </c>
      <c r="M101" s="4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f t="shared" si="2"/>
        <v>4</v>
      </c>
      <c r="T101" s="1">
        <v>41143</v>
      </c>
      <c r="U101" s="5">
        <f t="shared" si="3"/>
        <v>9.72218846462339e-5</v>
      </c>
    </row>
    <row r="102" spans="1:21">
      <c r="A102" s="1" t="s">
        <v>136</v>
      </c>
      <c r="B102" s="1" t="s">
        <v>137</v>
      </c>
      <c r="C102" s="1">
        <v>2014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4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f t="shared" si="2"/>
        <v>0</v>
      </c>
      <c r="T102" s="1">
        <v>12804</v>
      </c>
      <c r="U102" s="5">
        <f t="shared" si="3"/>
        <v>0</v>
      </c>
    </row>
    <row r="103" spans="1:21">
      <c r="A103" s="1" t="s">
        <v>136</v>
      </c>
      <c r="B103" s="1" t="s">
        <v>138</v>
      </c>
      <c r="C103" s="1" t="s">
        <v>22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4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f t="shared" si="2"/>
        <v>2</v>
      </c>
      <c r="T103" s="1">
        <v>41709</v>
      </c>
      <c r="U103" s="5">
        <f t="shared" si="3"/>
        <v>4.7951281497998e-5</v>
      </c>
    </row>
    <row r="104" spans="1:21">
      <c r="A104" s="1" t="s">
        <v>136</v>
      </c>
      <c r="B104" s="1" t="s">
        <v>139</v>
      </c>
      <c r="C104" s="1" t="s">
        <v>24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1</v>
      </c>
      <c r="K104" s="1">
        <v>1</v>
      </c>
      <c r="L104" s="1">
        <v>0</v>
      </c>
      <c r="M104" s="4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f t="shared" si="2"/>
        <v>4</v>
      </c>
      <c r="T104" s="1">
        <v>41353</v>
      </c>
      <c r="U104" s="5">
        <f t="shared" si="3"/>
        <v>9.67281696612096e-5</v>
      </c>
    </row>
    <row r="105" spans="1:21">
      <c r="A105" s="1" t="s">
        <v>136</v>
      </c>
      <c r="B105" s="1" t="s">
        <v>140</v>
      </c>
      <c r="C105" s="1" t="s">
        <v>43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4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f t="shared" si="2"/>
        <v>0</v>
      </c>
      <c r="T105" s="1">
        <v>44472</v>
      </c>
      <c r="U105" s="5">
        <f t="shared" si="3"/>
        <v>0</v>
      </c>
    </row>
    <row r="106" spans="1:21">
      <c r="A106" s="1" t="s">
        <v>136</v>
      </c>
      <c r="B106" s="1" t="s">
        <v>141</v>
      </c>
      <c r="C106" s="1" t="s">
        <v>45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4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f t="shared" si="2"/>
        <v>0</v>
      </c>
      <c r="T106" s="1">
        <v>46286</v>
      </c>
      <c r="U106" s="5">
        <f t="shared" si="3"/>
        <v>0</v>
      </c>
    </row>
    <row r="107" spans="1:21">
      <c r="A107" s="1" t="s">
        <v>136</v>
      </c>
      <c r="B107" s="1" t="s">
        <v>142</v>
      </c>
      <c r="C107" s="1" t="s">
        <v>47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4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f t="shared" si="2"/>
        <v>0</v>
      </c>
      <c r="T107" s="1">
        <v>48515</v>
      </c>
      <c r="U107" s="5">
        <f t="shared" si="3"/>
        <v>0</v>
      </c>
    </row>
    <row r="108" spans="1:21">
      <c r="A108" s="1" t="s">
        <v>136</v>
      </c>
      <c r="B108" s="1" t="s">
        <v>143</v>
      </c>
      <c r="C108" s="1" t="s">
        <v>27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4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f t="shared" si="2"/>
        <v>0</v>
      </c>
      <c r="T108" s="1">
        <v>44305</v>
      </c>
      <c r="U108" s="5">
        <f t="shared" si="3"/>
        <v>0</v>
      </c>
    </row>
    <row r="109" spans="1:21">
      <c r="A109" s="1" t="s">
        <v>136</v>
      </c>
      <c r="B109" s="1" t="s">
        <v>144</v>
      </c>
      <c r="C109" s="1" t="s">
        <v>30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0</v>
      </c>
      <c r="M109" s="4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f t="shared" si="2"/>
        <v>2</v>
      </c>
      <c r="T109" s="1">
        <v>51786</v>
      </c>
      <c r="U109" s="5">
        <f t="shared" si="3"/>
        <v>3.8620476576681e-5</v>
      </c>
    </row>
    <row r="110" spans="1:21">
      <c r="A110" s="1" t="s">
        <v>136</v>
      </c>
      <c r="B110" s="1" t="s">
        <v>145</v>
      </c>
      <c r="C110" s="1" t="s">
        <v>33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4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f t="shared" si="2"/>
        <v>0</v>
      </c>
      <c r="T110" s="1">
        <v>59325</v>
      </c>
      <c r="U110" s="5">
        <f t="shared" si="3"/>
        <v>0</v>
      </c>
    </row>
    <row r="111" spans="1:21">
      <c r="A111" s="1" t="s">
        <v>136</v>
      </c>
      <c r="B111" s="1" t="s">
        <v>146</v>
      </c>
      <c r="C111" s="1" t="s">
        <v>36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4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f t="shared" si="2"/>
        <v>2</v>
      </c>
      <c r="T111" s="1">
        <v>65538</v>
      </c>
      <c r="U111" s="5">
        <f t="shared" si="3"/>
        <v>3.05166468308462e-5</v>
      </c>
    </row>
    <row r="112" spans="1:21">
      <c r="A112" s="1" t="s">
        <v>147</v>
      </c>
      <c r="B112" s="1" t="s">
        <v>100</v>
      </c>
      <c r="C112" s="1" t="s">
        <v>24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4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f t="shared" si="2"/>
        <v>4</v>
      </c>
      <c r="T112" s="1">
        <v>30578</v>
      </c>
      <c r="U112" s="5">
        <f t="shared" si="3"/>
        <v>0.00013081300281248</v>
      </c>
    </row>
    <row r="113" spans="1:21">
      <c r="A113" s="1" t="s">
        <v>147</v>
      </c>
      <c r="B113" s="1" t="s">
        <v>148</v>
      </c>
      <c r="C113" s="1" t="s">
        <v>47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4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1">
        <f t="shared" si="2"/>
        <v>2</v>
      </c>
      <c r="T113" s="1">
        <v>29186</v>
      </c>
      <c r="U113" s="5">
        <f t="shared" si="3"/>
        <v>6.85260056191325e-5</v>
      </c>
    </row>
    <row r="114" spans="1:21">
      <c r="A114" s="1" t="s">
        <v>147</v>
      </c>
      <c r="B114" s="1" t="s">
        <v>149</v>
      </c>
      <c r="C114" s="1" t="s">
        <v>22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4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</v>
      </c>
      <c r="S114" s="1">
        <f t="shared" si="2"/>
        <v>2</v>
      </c>
      <c r="T114" s="1">
        <v>29497</v>
      </c>
      <c r="U114" s="5">
        <f t="shared" si="3"/>
        <v>6.78035054412313e-5</v>
      </c>
    </row>
    <row r="115" spans="1:21">
      <c r="A115" s="1" t="s">
        <v>147</v>
      </c>
      <c r="B115" s="1" t="s">
        <v>150</v>
      </c>
      <c r="C115" s="1" t="s">
        <v>36</v>
      </c>
      <c r="D115" s="1">
        <v>2</v>
      </c>
      <c r="E115" s="1">
        <v>1</v>
      </c>
      <c r="F115" s="1">
        <v>0</v>
      </c>
      <c r="G115" s="1">
        <v>4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4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f t="shared" si="2"/>
        <v>10</v>
      </c>
      <c r="T115" s="1">
        <v>44692</v>
      </c>
      <c r="U115" s="5">
        <f t="shared" si="3"/>
        <v>0.000223753691935917</v>
      </c>
    </row>
    <row r="116" spans="1:21">
      <c r="A116" s="1" t="s">
        <v>147</v>
      </c>
      <c r="B116" s="1" t="s">
        <v>151</v>
      </c>
      <c r="C116" s="1" t="s">
        <v>33</v>
      </c>
      <c r="D116" s="1">
        <v>1</v>
      </c>
      <c r="E116" s="1">
        <v>1</v>
      </c>
      <c r="F116" s="1">
        <v>0</v>
      </c>
      <c r="G116" s="1">
        <v>2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4">
        <v>0</v>
      </c>
      <c r="N116" s="1">
        <v>0</v>
      </c>
      <c r="O116" s="1">
        <v>0</v>
      </c>
      <c r="P116" s="1">
        <v>0</v>
      </c>
      <c r="Q116" s="1">
        <v>0</v>
      </c>
      <c r="R116" s="1">
        <v>2</v>
      </c>
      <c r="S116" s="1">
        <f t="shared" si="2"/>
        <v>12</v>
      </c>
      <c r="T116" s="1">
        <v>39253</v>
      </c>
      <c r="U116" s="5">
        <f t="shared" si="3"/>
        <v>0.000305709117774438</v>
      </c>
    </row>
    <row r="117" spans="1:21">
      <c r="A117" s="1" t="s">
        <v>147</v>
      </c>
      <c r="B117" s="1" t="s">
        <v>152</v>
      </c>
      <c r="C117" s="1" t="s">
        <v>45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0</v>
      </c>
      <c r="J117" s="1">
        <v>1</v>
      </c>
      <c r="K117" s="1">
        <v>0</v>
      </c>
      <c r="L117" s="1">
        <v>0</v>
      </c>
      <c r="M117" s="4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f t="shared" si="2"/>
        <v>4</v>
      </c>
      <c r="T117" s="1">
        <v>28078</v>
      </c>
      <c r="U117" s="5">
        <f t="shared" si="3"/>
        <v>0.000142460289194387</v>
      </c>
    </row>
    <row r="118" spans="1:21">
      <c r="A118" s="1" t="s">
        <v>147</v>
      </c>
      <c r="B118" s="1" t="s">
        <v>153</v>
      </c>
      <c r="C118" s="1" t="s">
        <v>41</v>
      </c>
      <c r="D118" s="1">
        <v>0</v>
      </c>
      <c r="E118" s="1">
        <v>0</v>
      </c>
      <c r="F118" s="1">
        <v>0</v>
      </c>
      <c r="G118" s="1">
        <v>5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4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f t="shared" si="2"/>
        <v>5</v>
      </c>
      <c r="T118" s="1">
        <v>27113</v>
      </c>
      <c r="U118" s="5">
        <f t="shared" si="3"/>
        <v>0.000184413381034928</v>
      </c>
    </row>
    <row r="119" spans="1:21">
      <c r="A119" s="1" t="s">
        <v>147</v>
      </c>
      <c r="B119" s="1" t="s">
        <v>154</v>
      </c>
      <c r="C119" s="1" t="s">
        <v>43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4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f t="shared" si="2"/>
        <v>2</v>
      </c>
      <c r="T119" s="1">
        <v>26282</v>
      </c>
      <c r="U119" s="5">
        <f t="shared" si="3"/>
        <v>7.60977094589453e-5</v>
      </c>
    </row>
    <row r="120" spans="1:21">
      <c r="A120" s="1" t="s">
        <v>147</v>
      </c>
      <c r="B120" s="1" t="s">
        <v>155</v>
      </c>
      <c r="C120" s="1" t="s">
        <v>27</v>
      </c>
      <c r="D120" s="1">
        <v>1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4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f t="shared" si="2"/>
        <v>3</v>
      </c>
      <c r="T120" s="1">
        <v>33575</v>
      </c>
      <c r="U120" s="5">
        <f t="shared" si="3"/>
        <v>8.93521965748325e-5</v>
      </c>
    </row>
    <row r="121" spans="1:21">
      <c r="A121" s="1" t="s">
        <v>147</v>
      </c>
      <c r="B121" s="1" t="s">
        <v>156</v>
      </c>
      <c r="C121" s="1" t="s">
        <v>30</v>
      </c>
      <c r="D121" s="1">
        <v>2</v>
      </c>
      <c r="E121" s="1">
        <v>0</v>
      </c>
      <c r="F121" s="1">
        <v>0</v>
      </c>
      <c r="G121" s="1">
        <v>1</v>
      </c>
      <c r="H121" s="1">
        <v>1</v>
      </c>
      <c r="I121" s="1">
        <v>1</v>
      </c>
      <c r="J121" s="1">
        <v>0</v>
      </c>
      <c r="K121" s="1">
        <v>0</v>
      </c>
      <c r="L121" s="1">
        <v>0</v>
      </c>
      <c r="M121" s="4">
        <v>0</v>
      </c>
      <c r="N121" s="1">
        <v>0</v>
      </c>
      <c r="O121" s="1">
        <v>0</v>
      </c>
      <c r="P121" s="1">
        <v>0</v>
      </c>
      <c r="Q121" s="1">
        <v>0</v>
      </c>
      <c r="R121" s="1">
        <v>4</v>
      </c>
      <c r="S121" s="1">
        <f t="shared" si="2"/>
        <v>17</v>
      </c>
      <c r="T121" s="1">
        <v>37311</v>
      </c>
      <c r="U121" s="5">
        <f t="shared" si="3"/>
        <v>0.0004556297070569</v>
      </c>
    </row>
    <row r="122" spans="1:21">
      <c r="A122" s="1" t="s">
        <v>157</v>
      </c>
      <c r="B122" s="1" t="s">
        <v>158</v>
      </c>
      <c r="C122" s="1" t="s">
        <v>41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4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f t="shared" si="2"/>
        <v>0</v>
      </c>
      <c r="T122" s="1">
        <v>35370</v>
      </c>
      <c r="U122" s="5">
        <f t="shared" si="3"/>
        <v>0</v>
      </c>
    </row>
    <row r="123" spans="1:21">
      <c r="A123" s="1" t="s">
        <v>157</v>
      </c>
      <c r="B123" s="1" t="s">
        <v>159</v>
      </c>
      <c r="C123" s="1" t="s">
        <v>43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4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f t="shared" si="2"/>
        <v>0</v>
      </c>
      <c r="T123" s="1">
        <v>33632</v>
      </c>
      <c r="U123" s="5">
        <f t="shared" si="3"/>
        <v>0</v>
      </c>
    </row>
    <row r="124" spans="1:21">
      <c r="A124" s="1" t="s">
        <v>157</v>
      </c>
      <c r="B124" s="1" t="s">
        <v>160</v>
      </c>
      <c r="C124" s="1" t="s">
        <v>45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4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f t="shared" si="2"/>
        <v>0</v>
      </c>
      <c r="T124" s="1">
        <v>33837</v>
      </c>
      <c r="U124" s="5">
        <f t="shared" si="3"/>
        <v>0</v>
      </c>
    </row>
    <row r="125" spans="1:21">
      <c r="A125" s="1" t="s">
        <v>157</v>
      </c>
      <c r="B125" s="1" t="s">
        <v>161</v>
      </c>
      <c r="C125" s="1" t="s">
        <v>47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4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f t="shared" si="2"/>
        <v>0</v>
      </c>
      <c r="T125" s="1">
        <v>32299</v>
      </c>
      <c r="U125" s="5">
        <f t="shared" si="3"/>
        <v>0</v>
      </c>
    </row>
    <row r="126" spans="1:21">
      <c r="A126" s="1" t="s">
        <v>157</v>
      </c>
      <c r="B126" s="1" t="s">
        <v>162</v>
      </c>
      <c r="C126" s="1" t="s">
        <v>22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4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f t="shared" si="2"/>
        <v>0</v>
      </c>
      <c r="T126" s="1">
        <v>33729</v>
      </c>
      <c r="U126" s="5">
        <f t="shared" si="3"/>
        <v>0</v>
      </c>
    </row>
    <row r="127" spans="1:21">
      <c r="A127" s="1" t="s">
        <v>157</v>
      </c>
      <c r="B127" s="1" t="s">
        <v>163</v>
      </c>
      <c r="C127" s="1" t="s">
        <v>24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4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f t="shared" si="2"/>
        <v>0</v>
      </c>
      <c r="T127" s="1">
        <v>28751</v>
      </c>
      <c r="U127" s="5">
        <f t="shared" si="3"/>
        <v>0</v>
      </c>
    </row>
    <row r="128" spans="1:21">
      <c r="A128" s="1" t="s">
        <v>157</v>
      </c>
      <c r="B128" s="1" t="s">
        <v>164</v>
      </c>
      <c r="C128" s="1" t="s">
        <v>27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4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  <c r="S128" s="1">
        <f t="shared" si="2"/>
        <v>2</v>
      </c>
      <c r="T128" s="1">
        <v>28032</v>
      </c>
      <c r="U128" s="5">
        <f t="shared" si="3"/>
        <v>7.13470319634703e-5</v>
      </c>
    </row>
    <row r="129" spans="1:21">
      <c r="A129" s="1" t="s">
        <v>157</v>
      </c>
      <c r="B129" s="1" t="s">
        <v>165</v>
      </c>
      <c r="C129" s="1" t="s">
        <v>30</v>
      </c>
      <c r="D129" s="1">
        <v>2</v>
      </c>
      <c r="E129" s="1">
        <v>0</v>
      </c>
      <c r="F129" s="1">
        <v>0</v>
      </c>
      <c r="G129" s="1">
        <v>4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4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f t="shared" si="2"/>
        <v>8</v>
      </c>
      <c r="T129" s="1">
        <v>27924</v>
      </c>
      <c r="U129" s="5">
        <f t="shared" si="3"/>
        <v>0.000286491906603638</v>
      </c>
    </row>
    <row r="130" spans="1:21">
      <c r="A130" s="1" t="s">
        <v>157</v>
      </c>
      <c r="B130" s="1" t="s">
        <v>166</v>
      </c>
      <c r="C130" s="1" t="s">
        <v>33</v>
      </c>
      <c r="D130" s="1">
        <v>3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4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</v>
      </c>
      <c r="S130" s="1">
        <f t="shared" ref="S130:S193" si="4">D130*2+E130*2+F130*2+G130*1+H130*2+I130*2+J130*2+K130*2+L130*2+M130*2+N130*2+O130*2+P130*2+Q130*2+R130*2</f>
        <v>10</v>
      </c>
      <c r="T130" s="1">
        <v>32981</v>
      </c>
      <c r="U130" s="5">
        <f t="shared" ref="U130:U193" si="5">S130/T130</f>
        <v>0.000303204875534399</v>
      </c>
    </row>
    <row r="131" spans="1:21">
      <c r="A131" s="1" t="s">
        <v>157</v>
      </c>
      <c r="B131" s="1" t="s">
        <v>167</v>
      </c>
      <c r="C131" s="1" t="s">
        <v>36</v>
      </c>
      <c r="D131" s="1">
        <v>2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4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f t="shared" si="4"/>
        <v>5</v>
      </c>
      <c r="T131" s="1">
        <v>33455</v>
      </c>
      <c r="U131" s="5">
        <f t="shared" si="5"/>
        <v>0.000149454491107458</v>
      </c>
    </row>
    <row r="132" spans="1:21">
      <c r="A132" s="1" t="s">
        <v>168</v>
      </c>
      <c r="B132" s="1" t="s">
        <v>169</v>
      </c>
      <c r="C132" s="1" t="s">
        <v>27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4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f t="shared" si="4"/>
        <v>0</v>
      </c>
      <c r="T132" s="1">
        <v>35424</v>
      </c>
      <c r="U132" s="5">
        <f t="shared" si="5"/>
        <v>0</v>
      </c>
    </row>
    <row r="133" spans="1:21">
      <c r="A133" s="1" t="s">
        <v>168</v>
      </c>
      <c r="B133" s="1" t="s">
        <v>170</v>
      </c>
      <c r="C133" s="1" t="s">
        <v>41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4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f t="shared" si="4"/>
        <v>0</v>
      </c>
      <c r="T133" s="1">
        <v>34503</v>
      </c>
      <c r="U133" s="5">
        <f t="shared" si="5"/>
        <v>0</v>
      </c>
    </row>
    <row r="134" spans="1:21">
      <c r="A134" s="1" t="s">
        <v>168</v>
      </c>
      <c r="B134" s="1" t="s">
        <v>171</v>
      </c>
      <c r="C134" s="1" t="s">
        <v>47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4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f t="shared" si="4"/>
        <v>0</v>
      </c>
      <c r="T134" s="1">
        <v>30895</v>
      </c>
      <c r="U134" s="5">
        <f t="shared" si="5"/>
        <v>0</v>
      </c>
    </row>
    <row r="135" spans="1:21">
      <c r="A135" s="1" t="s">
        <v>168</v>
      </c>
      <c r="B135" s="1" t="s">
        <v>172</v>
      </c>
      <c r="C135" s="1" t="s">
        <v>22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4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f t="shared" si="4"/>
        <v>0</v>
      </c>
      <c r="T135" s="1">
        <v>30260</v>
      </c>
      <c r="U135" s="5">
        <f t="shared" si="5"/>
        <v>0</v>
      </c>
    </row>
    <row r="136" spans="1:21">
      <c r="A136" s="1" t="s">
        <v>168</v>
      </c>
      <c r="B136" s="1" t="s">
        <v>173</v>
      </c>
      <c r="C136" s="1">
        <v>2019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4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f t="shared" si="4"/>
        <v>0</v>
      </c>
      <c r="T136" s="1">
        <v>32124</v>
      </c>
      <c r="U136" s="5">
        <f t="shared" si="5"/>
        <v>0</v>
      </c>
    </row>
    <row r="137" spans="1:21">
      <c r="A137" s="1" t="s">
        <v>168</v>
      </c>
      <c r="B137" s="1" t="s">
        <v>174</v>
      </c>
      <c r="C137" s="1" t="s">
        <v>43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4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f t="shared" si="4"/>
        <v>0</v>
      </c>
      <c r="T137" s="1">
        <v>34938</v>
      </c>
      <c r="U137" s="5">
        <f t="shared" si="5"/>
        <v>0</v>
      </c>
    </row>
    <row r="138" spans="1:21">
      <c r="A138" s="1" t="s">
        <v>168</v>
      </c>
      <c r="B138" s="1" t="s">
        <v>175</v>
      </c>
      <c r="C138" s="1" t="s">
        <v>45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4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f t="shared" si="4"/>
        <v>0</v>
      </c>
      <c r="T138" s="1">
        <v>35532</v>
      </c>
      <c r="U138" s="5">
        <f t="shared" si="5"/>
        <v>0</v>
      </c>
    </row>
    <row r="139" spans="1:21">
      <c r="A139" s="1" t="s">
        <v>168</v>
      </c>
      <c r="B139" s="1" t="s">
        <v>176</v>
      </c>
      <c r="C139" s="1" t="s">
        <v>36</v>
      </c>
      <c r="D139" s="1">
        <v>5</v>
      </c>
      <c r="E139" s="1">
        <v>1</v>
      </c>
      <c r="F139" s="1">
        <v>0</v>
      </c>
      <c r="G139" s="1">
        <v>4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4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f t="shared" si="4"/>
        <v>16</v>
      </c>
      <c r="T139" s="1">
        <v>42082</v>
      </c>
      <c r="U139" s="5">
        <f t="shared" si="5"/>
        <v>0.000380210066061499</v>
      </c>
    </row>
    <row r="140" spans="1:21">
      <c r="A140" s="1" t="s">
        <v>168</v>
      </c>
      <c r="B140" s="1" t="s">
        <v>177</v>
      </c>
      <c r="C140" s="1" t="s">
        <v>33</v>
      </c>
      <c r="D140" s="1">
        <v>2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1</v>
      </c>
      <c r="L140" s="1">
        <v>0</v>
      </c>
      <c r="M140" s="4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f t="shared" si="4"/>
        <v>8</v>
      </c>
      <c r="T140" s="1">
        <v>35655</v>
      </c>
      <c r="U140" s="5">
        <f t="shared" si="5"/>
        <v>0.000224372458280746</v>
      </c>
    </row>
    <row r="141" spans="1:21">
      <c r="A141" s="1" t="s">
        <v>168</v>
      </c>
      <c r="B141" s="1" t="s">
        <v>178</v>
      </c>
      <c r="C141" s="1" t="s">
        <v>33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4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f t="shared" si="4"/>
        <v>0</v>
      </c>
      <c r="T141" s="1">
        <v>39280</v>
      </c>
      <c r="U141" s="5">
        <f t="shared" si="5"/>
        <v>0</v>
      </c>
    </row>
    <row r="142" spans="1:21">
      <c r="A142" s="1" t="s">
        <v>179</v>
      </c>
      <c r="B142" s="1" t="s">
        <v>180</v>
      </c>
      <c r="C142" s="1" t="s">
        <v>33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</v>
      </c>
      <c r="K142" s="1">
        <v>0</v>
      </c>
      <c r="L142" s="1">
        <v>0</v>
      </c>
      <c r="M142" s="4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1">
        <f t="shared" si="4"/>
        <v>4</v>
      </c>
      <c r="T142" s="1">
        <v>29868</v>
      </c>
      <c r="U142" s="5">
        <f t="shared" si="5"/>
        <v>0.000133922592741395</v>
      </c>
    </row>
    <row r="143" spans="1:21">
      <c r="A143" s="1" t="s">
        <v>179</v>
      </c>
      <c r="B143" s="1" t="s">
        <v>181</v>
      </c>
      <c r="C143" s="1" t="s">
        <v>36</v>
      </c>
      <c r="D143" s="1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1</v>
      </c>
      <c r="K143" s="1">
        <v>0</v>
      </c>
      <c r="L143" s="1">
        <v>0</v>
      </c>
      <c r="M143" s="4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  <c r="S143" s="1">
        <f t="shared" si="4"/>
        <v>6</v>
      </c>
      <c r="T143" s="1">
        <v>27562</v>
      </c>
      <c r="U143" s="5">
        <f t="shared" si="5"/>
        <v>0.000217691023873449</v>
      </c>
    </row>
    <row r="144" spans="1:21">
      <c r="A144" s="1" t="s">
        <v>179</v>
      </c>
      <c r="B144" s="1" t="s">
        <v>182</v>
      </c>
      <c r="C144" s="1" t="s">
        <v>45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4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f t="shared" si="4"/>
        <v>0</v>
      </c>
      <c r="T144" s="1">
        <v>31151</v>
      </c>
      <c r="U144" s="5">
        <f t="shared" si="5"/>
        <v>0</v>
      </c>
    </row>
    <row r="145" spans="1:21">
      <c r="A145" s="1" t="s">
        <v>179</v>
      </c>
      <c r="B145" s="1" t="s">
        <v>183</v>
      </c>
      <c r="C145" s="1" t="s">
        <v>47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4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f t="shared" si="4"/>
        <v>0</v>
      </c>
      <c r="T145" s="1">
        <v>31603</v>
      </c>
      <c r="U145" s="5">
        <f t="shared" si="5"/>
        <v>0</v>
      </c>
    </row>
    <row r="146" spans="1:21">
      <c r="A146" s="1" t="s">
        <v>179</v>
      </c>
      <c r="B146" s="1" t="s">
        <v>138</v>
      </c>
      <c r="C146" s="1" t="s">
        <v>22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2</v>
      </c>
      <c r="K146" s="1">
        <v>0</v>
      </c>
      <c r="L146" s="1">
        <v>0</v>
      </c>
      <c r="M146" s="4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f t="shared" si="4"/>
        <v>4</v>
      </c>
      <c r="T146" s="1">
        <v>26422</v>
      </c>
      <c r="U146" s="5">
        <f t="shared" si="5"/>
        <v>0.000151388994020135</v>
      </c>
    </row>
    <row r="147" spans="1:21">
      <c r="A147" s="1" t="s">
        <v>179</v>
      </c>
      <c r="B147" s="1" t="s">
        <v>184</v>
      </c>
      <c r="C147" s="1" t="s">
        <v>24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</v>
      </c>
      <c r="K147" s="1">
        <v>0</v>
      </c>
      <c r="L147" s="1">
        <v>0</v>
      </c>
      <c r="M147" s="4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f t="shared" si="4"/>
        <v>2</v>
      </c>
      <c r="T147" s="1">
        <v>26324</v>
      </c>
      <c r="U147" s="5">
        <f t="shared" si="5"/>
        <v>7.59762953958365e-5</v>
      </c>
    </row>
    <row r="148" spans="1:21">
      <c r="A148" s="1" t="s">
        <v>179</v>
      </c>
      <c r="B148" s="1" t="s">
        <v>185</v>
      </c>
      <c r="C148" s="1" t="s">
        <v>27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1</v>
      </c>
      <c r="K148" s="1">
        <v>0</v>
      </c>
      <c r="L148" s="1">
        <v>0</v>
      </c>
      <c r="M148" s="4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f t="shared" si="4"/>
        <v>2</v>
      </c>
      <c r="T148" s="1">
        <v>27983</v>
      </c>
      <c r="U148" s="5">
        <f t="shared" si="5"/>
        <v>7.1471965121681e-5</v>
      </c>
    </row>
    <row r="149" spans="1:21">
      <c r="A149" s="1" t="s">
        <v>179</v>
      </c>
      <c r="B149" s="1" t="s">
        <v>186</v>
      </c>
      <c r="C149" s="1" t="s">
        <v>30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v>0</v>
      </c>
      <c r="L149" s="1">
        <v>0</v>
      </c>
      <c r="M149" s="4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f t="shared" si="4"/>
        <v>6</v>
      </c>
      <c r="T149" s="1">
        <v>30748</v>
      </c>
      <c r="U149" s="5">
        <f t="shared" si="5"/>
        <v>0.000195134642903603</v>
      </c>
    </row>
    <row r="150" spans="1:21">
      <c r="A150" s="1" t="s">
        <v>187</v>
      </c>
      <c r="B150" s="1" t="s">
        <v>41</v>
      </c>
      <c r="C150" s="1" t="s">
        <v>41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1</v>
      </c>
      <c r="L150" s="1">
        <v>0</v>
      </c>
      <c r="M150" s="4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f t="shared" si="4"/>
        <v>4</v>
      </c>
      <c r="T150" s="1">
        <v>11577</v>
      </c>
      <c r="U150" s="5">
        <f t="shared" si="5"/>
        <v>0.000345512654400967</v>
      </c>
    </row>
    <row r="151" spans="1:21">
      <c r="A151" s="1" t="s">
        <v>187</v>
      </c>
      <c r="B151" s="1" t="s">
        <v>43</v>
      </c>
      <c r="C151" s="1" t="s">
        <v>43</v>
      </c>
      <c r="D151" s="1">
        <v>0</v>
      </c>
      <c r="E151" s="1">
        <v>0</v>
      </c>
      <c r="F151" s="1">
        <v>0</v>
      </c>
      <c r="G151" s="1">
        <v>1</v>
      </c>
      <c r="H151" s="1">
        <v>8</v>
      </c>
      <c r="I151" s="1">
        <v>0</v>
      </c>
      <c r="J151" s="1">
        <v>9</v>
      </c>
      <c r="K151" s="1">
        <v>0</v>
      </c>
      <c r="L151" s="1">
        <v>0</v>
      </c>
      <c r="M151" s="4">
        <v>0</v>
      </c>
      <c r="N151" s="1">
        <v>0</v>
      </c>
      <c r="O151" s="1">
        <v>0</v>
      </c>
      <c r="P151" s="1">
        <v>1</v>
      </c>
      <c r="Q151" s="1">
        <v>0</v>
      </c>
      <c r="R151" s="1">
        <v>0</v>
      </c>
      <c r="S151" s="1">
        <f t="shared" si="4"/>
        <v>37</v>
      </c>
      <c r="T151" s="1">
        <v>13988</v>
      </c>
      <c r="U151" s="5">
        <f t="shared" si="5"/>
        <v>0.00264512439233629</v>
      </c>
    </row>
    <row r="152" spans="1:21">
      <c r="A152" s="1" t="s">
        <v>187</v>
      </c>
      <c r="B152" s="1" t="s">
        <v>45</v>
      </c>
      <c r="C152" s="1" t="s">
        <v>45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2</v>
      </c>
      <c r="K152" s="1">
        <v>0</v>
      </c>
      <c r="L152" s="1">
        <v>0</v>
      </c>
      <c r="M152" s="4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f t="shared" si="4"/>
        <v>4</v>
      </c>
      <c r="T152" s="1">
        <v>25505</v>
      </c>
      <c r="U152" s="5">
        <f t="shared" si="5"/>
        <v>0.00015683199372672</v>
      </c>
    </row>
    <row r="153" spans="1:21">
      <c r="A153" s="1" t="s">
        <v>187</v>
      </c>
      <c r="B153" s="1" t="s">
        <v>47</v>
      </c>
      <c r="C153" s="1" t="s">
        <v>47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1</v>
      </c>
      <c r="J153" s="1">
        <v>1</v>
      </c>
      <c r="K153" s="1">
        <v>0</v>
      </c>
      <c r="L153" s="1">
        <v>0</v>
      </c>
      <c r="M153" s="4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f t="shared" si="4"/>
        <v>4</v>
      </c>
      <c r="T153" s="1">
        <v>2409</v>
      </c>
      <c r="U153" s="5">
        <f t="shared" si="5"/>
        <v>0.0016604400166044</v>
      </c>
    </row>
    <row r="154" spans="1:21">
      <c r="A154" s="1" t="s">
        <v>187</v>
      </c>
      <c r="B154" s="1" t="s">
        <v>22</v>
      </c>
      <c r="C154" s="1" t="s">
        <v>22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2</v>
      </c>
      <c r="K154" s="1">
        <v>0</v>
      </c>
      <c r="L154" s="1">
        <v>0</v>
      </c>
      <c r="M154" s="4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f t="shared" si="4"/>
        <v>4</v>
      </c>
      <c r="T154" s="1">
        <v>57810</v>
      </c>
      <c r="U154" s="5">
        <f t="shared" si="5"/>
        <v>6.9192181283515e-5</v>
      </c>
    </row>
    <row r="155" spans="1:21">
      <c r="A155" s="1" t="s">
        <v>187</v>
      </c>
      <c r="B155" s="1" t="s">
        <v>24</v>
      </c>
      <c r="C155" s="1" t="s">
        <v>24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2</v>
      </c>
      <c r="K155" s="1">
        <v>0</v>
      </c>
      <c r="L155" s="1">
        <v>0</v>
      </c>
      <c r="M155" s="4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f t="shared" si="4"/>
        <v>4</v>
      </c>
      <c r="T155" s="1">
        <v>53440</v>
      </c>
      <c r="U155" s="5">
        <f t="shared" si="5"/>
        <v>7.48502994011976e-5</v>
      </c>
    </row>
    <row r="156" spans="1:21">
      <c r="A156" s="1" t="s">
        <v>187</v>
      </c>
      <c r="B156" s="1" t="s">
        <v>27</v>
      </c>
      <c r="C156" s="1" t="s">
        <v>27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</v>
      </c>
      <c r="J156" s="1">
        <v>2</v>
      </c>
      <c r="K156" s="1">
        <v>0</v>
      </c>
      <c r="L156" s="1">
        <v>0</v>
      </c>
      <c r="M156" s="4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f t="shared" si="4"/>
        <v>6</v>
      </c>
      <c r="T156" s="1">
        <v>61635</v>
      </c>
      <c r="U156" s="5">
        <f t="shared" si="5"/>
        <v>9.73472864443904e-5</v>
      </c>
    </row>
    <row r="157" spans="1:21">
      <c r="A157" s="1" t="s">
        <v>187</v>
      </c>
      <c r="B157" s="1" t="s">
        <v>30</v>
      </c>
      <c r="C157" s="1" t="s">
        <v>30</v>
      </c>
      <c r="D157" s="1">
        <v>0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3</v>
      </c>
      <c r="K157" s="1">
        <v>0</v>
      </c>
      <c r="L157" s="1">
        <v>0</v>
      </c>
      <c r="M157" s="4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f t="shared" si="4"/>
        <v>8</v>
      </c>
      <c r="T157" s="1">
        <v>48452</v>
      </c>
      <c r="U157" s="5">
        <f t="shared" si="5"/>
        <v>0.000165111863287377</v>
      </c>
    </row>
    <row r="158" spans="1:21">
      <c r="A158" s="1" t="s">
        <v>187</v>
      </c>
      <c r="B158" s="1" t="s">
        <v>33</v>
      </c>
      <c r="C158" s="1" t="s">
        <v>33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3</v>
      </c>
      <c r="K158" s="1">
        <v>0</v>
      </c>
      <c r="L158" s="1">
        <v>0</v>
      </c>
      <c r="M158" s="4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f t="shared" si="4"/>
        <v>6</v>
      </c>
      <c r="T158" s="1">
        <v>46284</v>
      </c>
      <c r="U158" s="5">
        <f t="shared" si="5"/>
        <v>0.000129634430904848</v>
      </c>
    </row>
    <row r="159" spans="1:21">
      <c r="A159" s="1" t="s">
        <v>187</v>
      </c>
      <c r="B159" s="1" t="s">
        <v>36</v>
      </c>
      <c r="C159" s="1" t="s">
        <v>36</v>
      </c>
      <c r="D159" s="1">
        <v>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2</v>
      </c>
      <c r="K159" s="1">
        <v>0</v>
      </c>
      <c r="L159" s="1">
        <v>0</v>
      </c>
      <c r="M159" s="4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</v>
      </c>
      <c r="S159" s="1">
        <f t="shared" si="4"/>
        <v>8</v>
      </c>
      <c r="T159" s="1">
        <v>48967</v>
      </c>
      <c r="U159" s="5">
        <f t="shared" si="5"/>
        <v>0.000163375334408888</v>
      </c>
    </row>
    <row r="160" spans="1:21">
      <c r="A160" s="1" t="s">
        <v>188</v>
      </c>
      <c r="B160" s="1" t="s">
        <v>189</v>
      </c>
      <c r="C160" s="1" t="s">
        <v>30</v>
      </c>
      <c r="D160" s="1">
        <v>1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2</v>
      </c>
      <c r="K160" s="1">
        <v>1</v>
      </c>
      <c r="L160" s="1">
        <v>0</v>
      </c>
      <c r="M160" s="4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f t="shared" si="4"/>
        <v>10</v>
      </c>
      <c r="T160" s="1">
        <v>17576</v>
      </c>
      <c r="U160" s="5">
        <f t="shared" si="5"/>
        <v>0.000568957669549385</v>
      </c>
    </row>
    <row r="161" spans="1:21">
      <c r="A161" s="1" t="s">
        <v>188</v>
      </c>
      <c r="B161" s="1" t="s">
        <v>190</v>
      </c>
      <c r="C161" s="1" t="s">
        <v>30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2</v>
      </c>
      <c r="J161" s="1">
        <v>1</v>
      </c>
      <c r="K161" s="1">
        <v>1</v>
      </c>
      <c r="L161" s="1">
        <v>0</v>
      </c>
      <c r="M161" s="4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</v>
      </c>
      <c r="S161" s="1">
        <f t="shared" si="4"/>
        <v>12</v>
      </c>
      <c r="T161" s="1">
        <v>35627</v>
      </c>
      <c r="U161" s="5">
        <f t="shared" si="5"/>
        <v>0.000336823195890757</v>
      </c>
    </row>
    <row r="162" spans="1:21">
      <c r="A162" s="1" t="s">
        <v>188</v>
      </c>
      <c r="B162" s="1" t="s">
        <v>191</v>
      </c>
      <c r="C162" s="1" t="s">
        <v>30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4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f t="shared" si="4"/>
        <v>0</v>
      </c>
      <c r="T162" s="1">
        <v>7275</v>
      </c>
      <c r="U162" s="5">
        <f t="shared" si="5"/>
        <v>0</v>
      </c>
    </row>
    <row r="163" spans="1:21">
      <c r="A163" s="1" t="s">
        <v>188</v>
      </c>
      <c r="B163" s="1" t="s">
        <v>192</v>
      </c>
      <c r="C163" s="1" t="s">
        <v>30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4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f t="shared" si="4"/>
        <v>0</v>
      </c>
      <c r="T163" s="1">
        <v>5781</v>
      </c>
      <c r="U163" s="5">
        <f t="shared" si="5"/>
        <v>0</v>
      </c>
    </row>
    <row r="164" spans="1:21">
      <c r="A164" s="1" t="s">
        <v>188</v>
      </c>
      <c r="B164" s="1" t="s">
        <v>193</v>
      </c>
      <c r="C164" s="1" t="s">
        <v>30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4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f t="shared" si="4"/>
        <v>0</v>
      </c>
      <c r="T164" s="1">
        <v>31666</v>
      </c>
      <c r="U164" s="5">
        <f t="shared" si="5"/>
        <v>0</v>
      </c>
    </row>
    <row r="165" spans="1:21">
      <c r="A165" s="1" t="s">
        <v>188</v>
      </c>
      <c r="B165" s="1" t="s">
        <v>194</v>
      </c>
      <c r="C165" s="1" t="s">
        <v>36</v>
      </c>
      <c r="D165" s="1">
        <v>2</v>
      </c>
      <c r="E165" s="1">
        <v>4</v>
      </c>
      <c r="F165" s="1">
        <v>0</v>
      </c>
      <c r="G165" s="1">
        <v>10</v>
      </c>
      <c r="H165" s="1">
        <v>0</v>
      </c>
      <c r="I165" s="1">
        <v>3</v>
      </c>
      <c r="J165" s="1">
        <v>1</v>
      </c>
      <c r="K165" s="1">
        <v>1</v>
      </c>
      <c r="L165" s="1">
        <v>0</v>
      </c>
      <c r="M165" s="4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f t="shared" si="4"/>
        <v>32</v>
      </c>
      <c r="T165" s="1">
        <v>106893</v>
      </c>
      <c r="U165" s="5">
        <f t="shared" si="5"/>
        <v>0.000299364785346094</v>
      </c>
    </row>
    <row r="166" spans="1:21">
      <c r="A166" s="1" t="s">
        <v>188</v>
      </c>
      <c r="B166" s="1" t="s">
        <v>195</v>
      </c>
      <c r="C166" s="1" t="s">
        <v>24</v>
      </c>
      <c r="D166" s="1">
        <v>5</v>
      </c>
      <c r="E166" s="1">
        <v>2</v>
      </c>
      <c r="F166" s="1">
        <v>0</v>
      </c>
      <c r="G166" s="1">
        <v>3</v>
      </c>
      <c r="H166" s="1">
        <v>6</v>
      </c>
      <c r="I166" s="1">
        <v>2</v>
      </c>
      <c r="J166" s="1">
        <v>4</v>
      </c>
      <c r="K166" s="1">
        <v>1</v>
      </c>
      <c r="L166" s="1">
        <v>0</v>
      </c>
      <c r="M166" s="4">
        <v>0</v>
      </c>
      <c r="N166" s="1">
        <v>0</v>
      </c>
      <c r="O166" s="1">
        <v>0</v>
      </c>
      <c r="P166" s="1">
        <v>0</v>
      </c>
      <c r="Q166" s="1">
        <v>0</v>
      </c>
      <c r="R166" s="1">
        <v>2</v>
      </c>
      <c r="S166" s="1">
        <f t="shared" si="4"/>
        <v>47</v>
      </c>
      <c r="T166" s="1">
        <v>48676</v>
      </c>
      <c r="U166" s="5">
        <f t="shared" si="5"/>
        <v>0.000965568247185471</v>
      </c>
    </row>
    <row r="167" spans="1:21">
      <c r="A167" s="1" t="s">
        <v>188</v>
      </c>
      <c r="B167" s="1" t="s">
        <v>196</v>
      </c>
      <c r="C167" s="1" t="s">
        <v>27</v>
      </c>
      <c r="D167" s="1">
        <v>4</v>
      </c>
      <c r="E167" s="1">
        <v>5</v>
      </c>
      <c r="F167" s="1">
        <v>0</v>
      </c>
      <c r="G167" s="1">
        <v>0</v>
      </c>
      <c r="H167" s="1">
        <v>3</v>
      </c>
      <c r="I167" s="1">
        <v>16</v>
      </c>
      <c r="J167" s="1">
        <v>4</v>
      </c>
      <c r="K167" s="1">
        <v>3</v>
      </c>
      <c r="L167" s="1">
        <v>0</v>
      </c>
      <c r="M167" s="4">
        <v>0</v>
      </c>
      <c r="N167" s="1">
        <v>0</v>
      </c>
      <c r="O167" s="1">
        <v>0</v>
      </c>
      <c r="P167" s="1">
        <v>1</v>
      </c>
      <c r="Q167" s="1">
        <v>0</v>
      </c>
      <c r="R167" s="1">
        <v>2</v>
      </c>
      <c r="S167" s="1">
        <f t="shared" si="4"/>
        <v>76</v>
      </c>
      <c r="T167" s="1">
        <v>37858</v>
      </c>
      <c r="U167" s="5">
        <f t="shared" si="5"/>
        <v>0.00200750171694226</v>
      </c>
    </row>
    <row r="168" spans="1:21">
      <c r="A168" s="1" t="s">
        <v>188</v>
      </c>
      <c r="B168" s="1" t="s">
        <v>197</v>
      </c>
      <c r="C168" s="1" t="s">
        <v>30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4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f t="shared" si="4"/>
        <v>0</v>
      </c>
      <c r="T168" s="1">
        <v>3050</v>
      </c>
      <c r="U168" s="5">
        <f t="shared" si="5"/>
        <v>0</v>
      </c>
    </row>
    <row r="169" spans="1:21">
      <c r="A169" s="1" t="s">
        <v>188</v>
      </c>
      <c r="B169" s="1" t="s">
        <v>198</v>
      </c>
      <c r="C169" s="1" t="s">
        <v>43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4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f t="shared" si="4"/>
        <v>2</v>
      </c>
      <c r="T169" s="1">
        <v>53991</v>
      </c>
      <c r="U169" s="5">
        <f t="shared" si="5"/>
        <v>3.70432109055213e-5</v>
      </c>
    </row>
    <row r="170" spans="1:21">
      <c r="A170" s="1" t="s">
        <v>188</v>
      </c>
      <c r="B170" s="1" t="s">
        <v>199</v>
      </c>
      <c r="C170" s="1" t="s">
        <v>45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4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f t="shared" si="4"/>
        <v>0</v>
      </c>
      <c r="T170" s="1">
        <v>61080</v>
      </c>
      <c r="U170" s="5">
        <f t="shared" si="5"/>
        <v>0</v>
      </c>
    </row>
    <row r="171" spans="1:21">
      <c r="A171" s="1" t="s">
        <v>188</v>
      </c>
      <c r="B171" s="1" t="s">
        <v>200</v>
      </c>
      <c r="C171" s="1" t="s">
        <v>47</v>
      </c>
      <c r="D171" s="1">
        <v>0</v>
      </c>
      <c r="E171" s="1">
        <v>0</v>
      </c>
      <c r="F171" s="1">
        <v>0</v>
      </c>
      <c r="G171" s="1">
        <v>0</v>
      </c>
      <c r="H171" s="1">
        <v>3</v>
      </c>
      <c r="I171" s="1">
        <v>2</v>
      </c>
      <c r="J171" s="1">
        <v>1</v>
      </c>
      <c r="K171" s="1">
        <v>1</v>
      </c>
      <c r="L171" s="1">
        <v>0</v>
      </c>
      <c r="M171" s="4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>
        <f t="shared" si="4"/>
        <v>16</v>
      </c>
      <c r="T171" s="1">
        <v>41036</v>
      </c>
      <c r="U171" s="5">
        <f t="shared" si="5"/>
        <v>0.000389901549858661</v>
      </c>
    </row>
    <row r="172" spans="1:21">
      <c r="A172" s="1" t="s">
        <v>188</v>
      </c>
      <c r="B172" s="1" t="s">
        <v>201</v>
      </c>
      <c r="C172" s="1" t="s">
        <v>22</v>
      </c>
      <c r="D172" s="1">
        <v>2</v>
      </c>
      <c r="E172" s="1">
        <v>0</v>
      </c>
      <c r="F172" s="1">
        <v>0</v>
      </c>
      <c r="G172" s="1">
        <v>0</v>
      </c>
      <c r="H172" s="1">
        <v>7</v>
      </c>
      <c r="I172" s="1">
        <v>2</v>
      </c>
      <c r="J172" s="1">
        <v>3</v>
      </c>
      <c r="K172" s="1">
        <v>1</v>
      </c>
      <c r="L172" s="1">
        <v>0</v>
      </c>
      <c r="M172" s="4">
        <v>0</v>
      </c>
      <c r="N172" s="1">
        <v>0</v>
      </c>
      <c r="O172" s="1">
        <v>0</v>
      </c>
      <c r="P172" s="1">
        <v>0</v>
      </c>
      <c r="Q172" s="1">
        <v>0</v>
      </c>
      <c r="R172" s="1">
        <v>3</v>
      </c>
      <c r="S172" s="1">
        <f t="shared" si="4"/>
        <v>36</v>
      </c>
      <c r="T172" s="1">
        <v>42050</v>
      </c>
      <c r="U172" s="5">
        <f t="shared" si="5"/>
        <v>0.000856123662306778</v>
      </c>
    </row>
    <row r="173" spans="1:21">
      <c r="A173" s="1" t="s">
        <v>202</v>
      </c>
      <c r="B173" s="1" t="s">
        <v>203</v>
      </c>
      <c r="C173" s="1" t="s">
        <v>47</v>
      </c>
      <c r="D173" s="1">
        <v>1</v>
      </c>
      <c r="E173" s="1">
        <v>0</v>
      </c>
      <c r="F173" s="1">
        <v>0</v>
      </c>
      <c r="G173" s="1">
        <v>0</v>
      </c>
      <c r="H173" s="1">
        <v>2</v>
      </c>
      <c r="I173" s="1">
        <v>0</v>
      </c>
      <c r="J173" s="1">
        <v>0</v>
      </c>
      <c r="K173" s="1">
        <v>2</v>
      </c>
      <c r="L173" s="1">
        <v>0</v>
      </c>
      <c r="M173" s="4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f t="shared" si="4"/>
        <v>10</v>
      </c>
      <c r="T173" s="1">
        <v>37470</v>
      </c>
      <c r="U173" s="5">
        <f t="shared" si="5"/>
        <v>0.000266880170803309</v>
      </c>
    </row>
    <row r="174" spans="1:21">
      <c r="A174" s="1" t="s">
        <v>202</v>
      </c>
      <c r="B174" s="1" t="s">
        <v>204</v>
      </c>
      <c r="C174" s="1" t="s">
        <v>22</v>
      </c>
      <c r="D174" s="1">
        <v>3</v>
      </c>
      <c r="E174" s="1">
        <v>3</v>
      </c>
      <c r="F174" s="1">
        <v>1</v>
      </c>
      <c r="G174" s="1">
        <v>0</v>
      </c>
      <c r="H174" s="1">
        <v>0</v>
      </c>
      <c r="I174" s="1">
        <v>0</v>
      </c>
      <c r="J174" s="1">
        <v>9</v>
      </c>
      <c r="K174" s="1">
        <v>2</v>
      </c>
      <c r="L174" s="1">
        <v>0</v>
      </c>
      <c r="M174" s="4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f t="shared" si="4"/>
        <v>38</v>
      </c>
      <c r="T174" s="1">
        <v>38695</v>
      </c>
      <c r="U174" s="5">
        <f t="shared" si="5"/>
        <v>0.000982039023129603</v>
      </c>
    </row>
    <row r="175" spans="1:21">
      <c r="A175" s="1" t="s">
        <v>202</v>
      </c>
      <c r="B175" s="1" t="s">
        <v>205</v>
      </c>
      <c r="C175" s="1" t="s">
        <v>33</v>
      </c>
      <c r="D175" s="1">
        <v>11</v>
      </c>
      <c r="E175" s="1">
        <v>3</v>
      </c>
      <c r="F175" s="1">
        <v>4</v>
      </c>
      <c r="G175" s="1">
        <v>8</v>
      </c>
      <c r="H175" s="1">
        <v>1</v>
      </c>
      <c r="I175" s="1">
        <v>2</v>
      </c>
      <c r="J175" s="1">
        <v>0</v>
      </c>
      <c r="K175" s="1">
        <v>3</v>
      </c>
      <c r="L175" s="1">
        <v>0</v>
      </c>
      <c r="M175" s="4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</v>
      </c>
      <c r="S175" s="1">
        <f t="shared" si="4"/>
        <v>58</v>
      </c>
      <c r="T175" s="1">
        <v>50016</v>
      </c>
      <c r="U175" s="5">
        <f t="shared" si="5"/>
        <v>0.001159628918746</v>
      </c>
    </row>
    <row r="176" spans="1:21">
      <c r="A176" s="1" t="s">
        <v>202</v>
      </c>
      <c r="B176" s="1" t="s">
        <v>206</v>
      </c>
      <c r="C176" s="1" t="s">
        <v>36</v>
      </c>
      <c r="D176" s="1">
        <v>7</v>
      </c>
      <c r="E176" s="1">
        <v>2</v>
      </c>
      <c r="F176" s="1">
        <v>0</v>
      </c>
      <c r="G176" s="1">
        <v>8</v>
      </c>
      <c r="H176" s="1">
        <v>0</v>
      </c>
      <c r="I176" s="1">
        <v>2</v>
      </c>
      <c r="J176" s="1">
        <v>0</v>
      </c>
      <c r="K176" s="1">
        <v>1</v>
      </c>
      <c r="L176" s="1">
        <v>0</v>
      </c>
      <c r="M176" s="4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</v>
      </c>
      <c r="S176" s="1">
        <f t="shared" si="4"/>
        <v>34</v>
      </c>
      <c r="T176" s="1">
        <v>54369</v>
      </c>
      <c r="U176" s="5">
        <f t="shared" si="5"/>
        <v>0.000625356361161691</v>
      </c>
    </row>
    <row r="177" spans="1:21">
      <c r="A177" s="1" t="s">
        <v>202</v>
      </c>
      <c r="B177" s="1" t="s">
        <v>207</v>
      </c>
      <c r="C177" s="1" t="s">
        <v>43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4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f t="shared" si="4"/>
        <v>0</v>
      </c>
      <c r="T177" s="1">
        <v>34003</v>
      </c>
      <c r="U177" s="5">
        <f t="shared" si="5"/>
        <v>0</v>
      </c>
    </row>
    <row r="178" spans="1:21">
      <c r="A178" s="1" t="s">
        <v>202</v>
      </c>
      <c r="B178" s="1" t="s">
        <v>208</v>
      </c>
      <c r="C178" s="1" t="s">
        <v>30</v>
      </c>
      <c r="D178" s="1">
        <v>12</v>
      </c>
      <c r="E178" s="1">
        <v>3</v>
      </c>
      <c r="F178" s="1">
        <v>4</v>
      </c>
      <c r="G178" s="1">
        <v>13</v>
      </c>
      <c r="H178" s="1">
        <v>2</v>
      </c>
      <c r="I178" s="1">
        <v>1</v>
      </c>
      <c r="J178" s="1">
        <v>0</v>
      </c>
      <c r="K178" s="1">
        <v>3</v>
      </c>
      <c r="L178" s="1">
        <v>0</v>
      </c>
      <c r="M178" s="4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f t="shared" si="4"/>
        <v>65</v>
      </c>
      <c r="T178" s="1">
        <v>44191</v>
      </c>
      <c r="U178" s="5">
        <f t="shared" si="5"/>
        <v>0.00147088773732208</v>
      </c>
    </row>
    <row r="179" spans="1:21">
      <c r="A179" s="1" t="s">
        <v>202</v>
      </c>
      <c r="B179" s="1" t="s">
        <v>209</v>
      </c>
      <c r="C179" s="1">
        <v>2019</v>
      </c>
      <c r="D179" s="1">
        <v>7</v>
      </c>
      <c r="E179" s="1">
        <v>6</v>
      </c>
      <c r="F179" s="1">
        <v>0</v>
      </c>
      <c r="G179" s="1">
        <v>1</v>
      </c>
      <c r="H179" s="1">
        <v>0</v>
      </c>
      <c r="I179" s="1">
        <v>2</v>
      </c>
      <c r="J179" s="1">
        <v>6</v>
      </c>
      <c r="K179" s="1">
        <v>0</v>
      </c>
      <c r="L179" s="1">
        <v>0</v>
      </c>
      <c r="M179" s="4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f t="shared" si="4"/>
        <v>43</v>
      </c>
      <c r="T179" s="1">
        <v>37801</v>
      </c>
      <c r="U179" s="5">
        <f t="shared" si="5"/>
        <v>0.00113753604402</v>
      </c>
    </row>
    <row r="180" spans="1:21">
      <c r="A180" s="1" t="s">
        <v>202</v>
      </c>
      <c r="B180" s="1" t="s">
        <v>210</v>
      </c>
      <c r="C180" s="1">
        <v>2014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4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f t="shared" si="4"/>
        <v>2</v>
      </c>
      <c r="T180" s="1">
        <v>32382</v>
      </c>
      <c r="U180" s="5">
        <f t="shared" si="5"/>
        <v>6.17627076771046e-5</v>
      </c>
    </row>
    <row r="181" spans="1:21">
      <c r="A181" s="1" t="s">
        <v>202</v>
      </c>
      <c r="B181" s="1" t="s">
        <v>211</v>
      </c>
      <c r="C181" s="1" t="s">
        <v>45</v>
      </c>
      <c r="D181" s="1">
        <v>5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1</v>
      </c>
      <c r="K181" s="1">
        <v>0</v>
      </c>
      <c r="L181" s="1">
        <v>0</v>
      </c>
      <c r="M181" s="4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</v>
      </c>
      <c r="S181" s="1">
        <f t="shared" si="4"/>
        <v>14</v>
      </c>
      <c r="T181" s="1">
        <v>39882</v>
      </c>
      <c r="U181" s="5">
        <f t="shared" si="5"/>
        <v>0.000351035554886916</v>
      </c>
    </row>
    <row r="182" spans="1:21">
      <c r="A182" s="1" t="s">
        <v>202</v>
      </c>
      <c r="B182" s="1" t="s">
        <v>212</v>
      </c>
      <c r="C182" s="1" t="s">
        <v>27</v>
      </c>
      <c r="D182" s="1">
        <v>11</v>
      </c>
      <c r="E182" s="1">
        <v>10</v>
      </c>
      <c r="F182" s="1">
        <v>2</v>
      </c>
      <c r="G182" s="1">
        <v>9</v>
      </c>
      <c r="H182" s="1">
        <v>2</v>
      </c>
      <c r="I182" s="1">
        <v>2</v>
      </c>
      <c r="J182" s="1">
        <v>2</v>
      </c>
      <c r="K182" s="1">
        <v>4</v>
      </c>
      <c r="L182" s="1">
        <v>0</v>
      </c>
      <c r="M182" s="4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</v>
      </c>
      <c r="S182" s="1">
        <f t="shared" si="4"/>
        <v>77</v>
      </c>
      <c r="T182" s="1">
        <v>37842</v>
      </c>
      <c r="U182" s="5">
        <f t="shared" si="5"/>
        <v>0.00203477617462079</v>
      </c>
    </row>
    <row r="183" spans="1:21">
      <c r="A183" s="1" t="s">
        <v>213</v>
      </c>
      <c r="B183" s="1" t="s">
        <v>24</v>
      </c>
      <c r="C183" s="1" t="s">
        <v>24</v>
      </c>
      <c r="D183" s="1">
        <v>2</v>
      </c>
      <c r="E183" s="1">
        <v>0</v>
      </c>
      <c r="F183" s="1">
        <v>0</v>
      </c>
      <c r="G183" s="1">
        <v>1</v>
      </c>
      <c r="H183" s="1">
        <v>1</v>
      </c>
      <c r="I183" s="1">
        <v>0</v>
      </c>
      <c r="J183" s="1">
        <v>4</v>
      </c>
      <c r="K183" s="1">
        <v>2</v>
      </c>
      <c r="L183" s="1">
        <v>0</v>
      </c>
      <c r="M183" s="4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f t="shared" si="4"/>
        <v>19</v>
      </c>
      <c r="T183" s="1">
        <v>7012</v>
      </c>
      <c r="U183" s="5">
        <f t="shared" si="5"/>
        <v>0.00270964061608671</v>
      </c>
    </row>
    <row r="184" spans="1:21">
      <c r="A184" s="1" t="s">
        <v>213</v>
      </c>
      <c r="B184" s="1" t="s">
        <v>27</v>
      </c>
      <c r="C184" s="1" t="s">
        <v>27</v>
      </c>
      <c r="D184" s="1">
        <v>3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3</v>
      </c>
      <c r="L184" s="1">
        <v>0</v>
      </c>
      <c r="M184" s="4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f t="shared" si="4"/>
        <v>12</v>
      </c>
      <c r="T184" s="1">
        <v>7371</v>
      </c>
      <c r="U184" s="5">
        <f t="shared" si="5"/>
        <v>0.00162800162800163</v>
      </c>
    </row>
    <row r="185" spans="1:21">
      <c r="A185" s="1" t="s">
        <v>213</v>
      </c>
      <c r="B185" s="1" t="s">
        <v>30</v>
      </c>
      <c r="C185" s="1" t="s">
        <v>30</v>
      </c>
      <c r="D185" s="1">
        <v>3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2</v>
      </c>
      <c r="L185" s="1">
        <v>0</v>
      </c>
      <c r="M185" s="4">
        <v>0</v>
      </c>
      <c r="N185" s="1">
        <v>0</v>
      </c>
      <c r="O185" s="1">
        <v>0</v>
      </c>
      <c r="P185" s="1">
        <v>0</v>
      </c>
      <c r="Q185" s="1">
        <v>1</v>
      </c>
      <c r="R185" s="1">
        <v>0</v>
      </c>
      <c r="S185" s="1">
        <f t="shared" si="4"/>
        <v>12</v>
      </c>
      <c r="T185" s="1">
        <v>9554</v>
      </c>
      <c r="U185" s="5">
        <f t="shared" si="5"/>
        <v>0.00125601842160352</v>
      </c>
    </row>
    <row r="186" spans="1:21">
      <c r="A186" s="1" t="s">
        <v>213</v>
      </c>
      <c r="B186" s="1" t="s">
        <v>33</v>
      </c>
      <c r="C186" s="1" t="s">
        <v>33</v>
      </c>
      <c r="D186" s="1">
        <v>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  <c r="M186" s="4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f t="shared" si="4"/>
        <v>4</v>
      </c>
      <c r="T186" s="1">
        <v>11836</v>
      </c>
      <c r="U186" s="5">
        <f t="shared" si="5"/>
        <v>0.000337952010814464</v>
      </c>
    </row>
    <row r="187" spans="1:21">
      <c r="A187" s="1" t="s">
        <v>213</v>
      </c>
      <c r="B187" s="1" t="s">
        <v>214</v>
      </c>
      <c r="C187" s="1" t="s">
        <v>36</v>
      </c>
      <c r="D187" s="1">
        <v>2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2</v>
      </c>
      <c r="L187" s="1">
        <v>0</v>
      </c>
      <c r="M187" s="4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f t="shared" si="4"/>
        <v>8</v>
      </c>
      <c r="T187" s="1">
        <v>25445</v>
      </c>
      <c r="U187" s="5">
        <f t="shared" si="5"/>
        <v>0.00031440361564158</v>
      </c>
    </row>
    <row r="188" spans="1:21">
      <c r="A188" s="6" t="s">
        <v>213</v>
      </c>
      <c r="B188" s="6" t="s">
        <v>215</v>
      </c>
      <c r="C188" s="1" t="s">
        <v>41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4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1">
        <f t="shared" si="4"/>
        <v>0</v>
      </c>
      <c r="T188" s="6">
        <v>8539</v>
      </c>
      <c r="U188" s="5">
        <f t="shared" si="5"/>
        <v>0</v>
      </c>
    </row>
    <row r="189" spans="1:21">
      <c r="A189" s="1" t="s">
        <v>216</v>
      </c>
      <c r="B189" s="1" t="s">
        <v>217</v>
      </c>
      <c r="C189" s="1" t="s">
        <v>41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4" t="s">
        <v>218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 t="e">
        <f t="shared" si="4"/>
        <v>#VALUE!</v>
      </c>
      <c r="T189" s="1">
        <v>63618</v>
      </c>
      <c r="U189" s="5" t="e">
        <f t="shared" si="5"/>
        <v>#VALUE!</v>
      </c>
    </row>
    <row r="190" spans="1:21">
      <c r="A190" s="1" t="s">
        <v>216</v>
      </c>
      <c r="B190" s="1" t="s">
        <v>219</v>
      </c>
      <c r="C190" s="1" t="s">
        <v>43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4" t="s">
        <v>218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 t="e">
        <f t="shared" si="4"/>
        <v>#VALUE!</v>
      </c>
      <c r="T190" s="1">
        <v>84485</v>
      </c>
      <c r="U190" s="5" t="e">
        <f t="shared" si="5"/>
        <v>#VALUE!</v>
      </c>
    </row>
    <row r="191" spans="1:21">
      <c r="A191" s="1" t="s">
        <v>216</v>
      </c>
      <c r="B191" s="1" t="s">
        <v>220</v>
      </c>
      <c r="C191" s="2" t="s">
        <v>45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1">
        <f t="shared" si="4"/>
        <v>0</v>
      </c>
      <c r="T191" s="4">
        <v>62975</v>
      </c>
      <c r="U191" s="5">
        <f t="shared" si="5"/>
        <v>0</v>
      </c>
    </row>
    <row r="192" spans="1:21">
      <c r="A192" s="1" t="s">
        <v>216</v>
      </c>
      <c r="B192" s="1" t="s">
        <v>221</v>
      </c>
      <c r="C192" s="2" t="s">
        <v>47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1">
        <f t="shared" si="4"/>
        <v>0</v>
      </c>
      <c r="T192" s="4">
        <v>95546</v>
      </c>
      <c r="U192" s="5">
        <f t="shared" si="5"/>
        <v>0</v>
      </c>
    </row>
    <row r="193" spans="1:21">
      <c r="A193" s="1" t="s">
        <v>216</v>
      </c>
      <c r="B193" s="1" t="s">
        <v>222</v>
      </c>
      <c r="C193" s="2" t="s">
        <v>22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1">
        <f t="shared" si="4"/>
        <v>0</v>
      </c>
      <c r="T193" s="4">
        <v>63953</v>
      </c>
      <c r="U193" s="5">
        <f t="shared" si="5"/>
        <v>0</v>
      </c>
    </row>
    <row r="194" spans="1:21">
      <c r="A194" s="1" t="s">
        <v>216</v>
      </c>
      <c r="B194" s="1" t="s">
        <v>223</v>
      </c>
      <c r="C194" s="2" t="s">
        <v>24</v>
      </c>
      <c r="D194" s="4">
        <v>2</v>
      </c>
      <c r="E194" s="4">
        <v>0</v>
      </c>
      <c r="F194" s="4">
        <v>0</v>
      </c>
      <c r="G194" s="4">
        <v>3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1">
        <f t="shared" ref="S194:S257" si="6">D194*2+E194*2+F194*2+G194*1+H194*2+I194*2+J194*2+K194*2+L194*2+M194*2+N194*2+O194*2+P194*2+Q194*2+R194*2</f>
        <v>7</v>
      </c>
      <c r="T194" s="4">
        <v>69219</v>
      </c>
      <c r="U194" s="5">
        <f t="shared" ref="U194:U257" si="7">S194/T194</f>
        <v>0.000101128302922608</v>
      </c>
    </row>
    <row r="195" spans="1:21">
      <c r="A195" s="1" t="s">
        <v>216</v>
      </c>
      <c r="B195" s="1" t="s">
        <v>224</v>
      </c>
      <c r="C195" s="2" t="s">
        <v>27</v>
      </c>
      <c r="D195" s="4">
        <v>2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1">
        <f t="shared" si="6"/>
        <v>4</v>
      </c>
      <c r="T195" s="4">
        <v>72513</v>
      </c>
      <c r="U195" s="5">
        <f t="shared" si="7"/>
        <v>5.51625225821577e-5</v>
      </c>
    </row>
    <row r="196" spans="1:21">
      <c r="A196" s="1" t="s">
        <v>216</v>
      </c>
      <c r="B196" s="1" t="s">
        <v>225</v>
      </c>
      <c r="C196" s="2" t="s">
        <v>30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1">
        <f t="shared" si="6"/>
        <v>0</v>
      </c>
      <c r="T196" s="4">
        <v>77407</v>
      </c>
      <c r="U196" s="5">
        <f t="shared" si="7"/>
        <v>0</v>
      </c>
    </row>
    <row r="197" spans="1:21">
      <c r="A197" s="1" t="s">
        <v>216</v>
      </c>
      <c r="B197" s="1" t="s">
        <v>226</v>
      </c>
      <c r="C197" s="2">
        <v>2022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1">
        <f t="shared" si="6"/>
        <v>0</v>
      </c>
      <c r="T197" s="4">
        <v>77649</v>
      </c>
      <c r="U197" s="5">
        <f t="shared" si="7"/>
        <v>0</v>
      </c>
    </row>
    <row r="198" spans="1:21">
      <c r="A198" s="1" t="s">
        <v>216</v>
      </c>
      <c r="B198" s="1" t="s">
        <v>227</v>
      </c>
      <c r="C198" s="2">
        <v>2023</v>
      </c>
      <c r="D198" s="4">
        <v>1</v>
      </c>
      <c r="E198" s="4">
        <v>0</v>
      </c>
      <c r="F198" s="4">
        <v>0</v>
      </c>
      <c r="G198" s="4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1">
        <f t="shared" si="6"/>
        <v>3</v>
      </c>
      <c r="T198" s="4">
        <v>77958</v>
      </c>
      <c r="U198" s="5">
        <f t="shared" si="7"/>
        <v>3.84822596782883e-5</v>
      </c>
    </row>
    <row r="199" spans="1:21">
      <c r="A199" s="1" t="s">
        <v>228</v>
      </c>
      <c r="B199" s="1" t="s">
        <v>229</v>
      </c>
      <c r="C199" s="1" t="s">
        <v>22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4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</v>
      </c>
      <c r="S199" s="1">
        <f t="shared" si="6"/>
        <v>2</v>
      </c>
      <c r="T199" s="1">
        <v>32002</v>
      </c>
      <c r="U199" s="5">
        <f t="shared" si="7"/>
        <v>6.24960939941254e-5</v>
      </c>
    </row>
    <row r="200" spans="1:21">
      <c r="A200" s="1" t="s">
        <v>228</v>
      </c>
      <c r="B200" s="1" t="s">
        <v>230</v>
      </c>
      <c r="C200" s="1" t="s">
        <v>24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4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</v>
      </c>
      <c r="S200" s="1">
        <f t="shared" si="6"/>
        <v>2</v>
      </c>
      <c r="T200" s="1">
        <v>41764</v>
      </c>
      <c r="U200" s="5">
        <f t="shared" si="7"/>
        <v>4.78881333205632e-5</v>
      </c>
    </row>
    <row r="201" spans="1:21">
      <c r="A201" s="1" t="s">
        <v>228</v>
      </c>
      <c r="B201" s="1" t="s">
        <v>231</v>
      </c>
      <c r="C201" s="1" t="s">
        <v>36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4">
        <v>0</v>
      </c>
      <c r="N201" s="1">
        <v>0</v>
      </c>
      <c r="O201" s="1">
        <v>0</v>
      </c>
      <c r="P201" s="1">
        <v>0</v>
      </c>
      <c r="Q201" s="1">
        <v>0</v>
      </c>
      <c r="R201" s="1">
        <v>2</v>
      </c>
      <c r="S201" s="1">
        <f t="shared" si="6"/>
        <v>7</v>
      </c>
      <c r="T201" s="1">
        <v>41025</v>
      </c>
      <c r="U201" s="5">
        <f t="shared" si="7"/>
        <v>0.000170627666057282</v>
      </c>
    </row>
    <row r="202" spans="1:21">
      <c r="A202" s="1" t="s">
        <v>228</v>
      </c>
      <c r="B202" s="1" t="s">
        <v>232</v>
      </c>
      <c r="C202" s="1" t="s">
        <v>27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4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>
        <f t="shared" si="6"/>
        <v>2</v>
      </c>
      <c r="T202" s="1">
        <v>42424</v>
      </c>
      <c r="U202" s="5">
        <f t="shared" si="7"/>
        <v>4.71431265321516e-5</v>
      </c>
    </row>
    <row r="203" spans="1:21">
      <c r="A203" s="1" t="s">
        <v>228</v>
      </c>
      <c r="B203" s="1" t="s">
        <v>233</v>
      </c>
      <c r="C203" s="1" t="s">
        <v>30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0</v>
      </c>
      <c r="K203" s="1">
        <v>0</v>
      </c>
      <c r="L203" s="1">
        <v>0</v>
      </c>
      <c r="M203" s="4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</v>
      </c>
      <c r="S203" s="1">
        <f t="shared" si="6"/>
        <v>4</v>
      </c>
      <c r="T203" s="1">
        <v>46666</v>
      </c>
      <c r="U203" s="5">
        <f t="shared" si="7"/>
        <v>8.57155102215746e-5</v>
      </c>
    </row>
    <row r="204" spans="1:21">
      <c r="A204" s="1" t="s">
        <v>228</v>
      </c>
      <c r="B204" s="1" t="s">
        <v>234</v>
      </c>
      <c r="C204" s="1" t="s">
        <v>33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</v>
      </c>
      <c r="J204" s="1">
        <v>0</v>
      </c>
      <c r="K204" s="1">
        <v>0</v>
      </c>
      <c r="L204" s="1">
        <v>0</v>
      </c>
      <c r="M204" s="4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f t="shared" si="6"/>
        <v>2</v>
      </c>
      <c r="T204" s="1">
        <v>45979</v>
      </c>
      <c r="U204" s="5">
        <f t="shared" si="7"/>
        <v>4.34981187063659e-5</v>
      </c>
    </row>
    <row r="205" spans="1:21">
      <c r="A205" s="1" t="s">
        <v>235</v>
      </c>
      <c r="B205" s="1" t="s">
        <v>43</v>
      </c>
      <c r="C205" s="1" t="s">
        <v>43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1</v>
      </c>
      <c r="L205" s="1">
        <v>0</v>
      </c>
      <c r="M205" s="4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f t="shared" si="6"/>
        <v>2</v>
      </c>
      <c r="T205" s="1">
        <v>61293</v>
      </c>
      <c r="U205" s="5">
        <f t="shared" si="7"/>
        <v>3.26301535248723e-5</v>
      </c>
    </row>
    <row r="206" spans="1:21">
      <c r="A206" s="1" t="s">
        <v>235</v>
      </c>
      <c r="B206" s="1" t="s">
        <v>236</v>
      </c>
      <c r="C206" s="1" t="s">
        <v>47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4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f t="shared" si="6"/>
        <v>2</v>
      </c>
      <c r="T206" s="1">
        <v>75529</v>
      </c>
      <c r="U206" s="5">
        <f t="shared" si="7"/>
        <v>2.64798951396152e-5</v>
      </c>
    </row>
    <row r="207" spans="1:21">
      <c r="A207" s="1" t="s">
        <v>235</v>
      </c>
      <c r="B207" s="1" t="s">
        <v>237</v>
      </c>
      <c r="C207" s="1" t="s">
        <v>22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4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f t="shared" si="6"/>
        <v>0</v>
      </c>
      <c r="T207" s="1">
        <v>97157</v>
      </c>
      <c r="U207" s="5">
        <f t="shared" si="7"/>
        <v>0</v>
      </c>
    </row>
    <row r="208" spans="1:21">
      <c r="A208" s="1" t="s">
        <v>235</v>
      </c>
      <c r="B208" s="1" t="s">
        <v>30</v>
      </c>
      <c r="C208" s="1" t="s">
        <v>30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2</v>
      </c>
      <c r="L208" s="1">
        <v>0</v>
      </c>
      <c r="M208" s="4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f t="shared" si="6"/>
        <v>4</v>
      </c>
      <c r="T208" s="1">
        <v>43396</v>
      </c>
      <c r="U208" s="5">
        <f t="shared" si="7"/>
        <v>9.21743939533597e-5</v>
      </c>
    </row>
    <row r="209" spans="1:21">
      <c r="A209" s="1" t="s">
        <v>235</v>
      </c>
      <c r="B209" s="1" t="s">
        <v>238</v>
      </c>
      <c r="C209" s="1" t="s">
        <v>36</v>
      </c>
      <c r="D209" s="1">
        <v>3</v>
      </c>
      <c r="E209" s="1">
        <v>0</v>
      </c>
      <c r="F209" s="1">
        <v>0</v>
      </c>
      <c r="G209" s="1">
        <v>18</v>
      </c>
      <c r="H209" s="1">
        <v>0</v>
      </c>
      <c r="I209" s="1">
        <v>0</v>
      </c>
      <c r="J209" s="1">
        <v>0</v>
      </c>
      <c r="K209" s="1">
        <v>2</v>
      </c>
      <c r="L209" s="1">
        <v>0</v>
      </c>
      <c r="M209" s="4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f t="shared" si="6"/>
        <v>28</v>
      </c>
      <c r="T209" s="1">
        <v>42645</v>
      </c>
      <c r="U209" s="5">
        <f t="shared" si="7"/>
        <v>0.000656583421268613</v>
      </c>
    </row>
    <row r="210" spans="1:21">
      <c r="A210" s="1" t="s">
        <v>235</v>
      </c>
      <c r="B210" s="1" t="s">
        <v>239</v>
      </c>
      <c r="C210" s="1" t="s">
        <v>24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4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f t="shared" si="6"/>
        <v>0</v>
      </c>
      <c r="T210" s="1">
        <v>102201</v>
      </c>
      <c r="U210" s="5">
        <f t="shared" si="7"/>
        <v>0</v>
      </c>
    </row>
    <row r="211" spans="1:21">
      <c r="A211" s="1" t="s">
        <v>235</v>
      </c>
      <c r="B211" s="1" t="s">
        <v>240</v>
      </c>
      <c r="C211" s="1" t="s">
        <v>27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1</v>
      </c>
      <c r="K211" s="1">
        <v>2</v>
      </c>
      <c r="L211" s="1">
        <v>0</v>
      </c>
      <c r="M211" s="4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f t="shared" si="6"/>
        <v>6</v>
      </c>
      <c r="T211" s="1">
        <v>77887</v>
      </c>
      <c r="U211" s="5">
        <f t="shared" si="7"/>
        <v>7.70346784444131e-5</v>
      </c>
    </row>
    <row r="212" spans="1:21">
      <c r="A212" s="1" t="s">
        <v>235</v>
      </c>
      <c r="B212" s="1" t="s">
        <v>241</v>
      </c>
      <c r="C212" s="1" t="s">
        <v>33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2</v>
      </c>
      <c r="L212" s="1">
        <v>0</v>
      </c>
      <c r="M212" s="4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f t="shared" si="6"/>
        <v>4</v>
      </c>
      <c r="T212" s="1">
        <v>42098</v>
      </c>
      <c r="U212" s="5">
        <f t="shared" si="7"/>
        <v>9.50163903273315e-5</v>
      </c>
    </row>
    <row r="213" spans="1:21">
      <c r="A213" s="1" t="s">
        <v>242</v>
      </c>
      <c r="B213" s="1" t="s">
        <v>24</v>
      </c>
      <c r="C213" s="1" t="s">
        <v>24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4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f t="shared" si="6"/>
        <v>0</v>
      </c>
      <c r="T213" s="1">
        <v>21882</v>
      </c>
      <c r="U213" s="5">
        <f t="shared" si="7"/>
        <v>0</v>
      </c>
    </row>
    <row r="214" spans="1:21">
      <c r="A214" s="1" t="s">
        <v>242</v>
      </c>
      <c r="B214" s="1" t="s">
        <v>243</v>
      </c>
      <c r="C214" s="1" t="s">
        <v>36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4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f t="shared" si="6"/>
        <v>0</v>
      </c>
      <c r="T214" s="1">
        <v>23063</v>
      </c>
      <c r="U214" s="5">
        <f t="shared" si="7"/>
        <v>0</v>
      </c>
    </row>
    <row r="215" spans="1:21">
      <c r="A215" s="1" t="s">
        <v>242</v>
      </c>
      <c r="B215" s="1" t="s">
        <v>244</v>
      </c>
      <c r="C215" s="1">
        <v>2014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4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f t="shared" si="6"/>
        <v>0</v>
      </c>
      <c r="T215" s="1">
        <v>21574</v>
      </c>
      <c r="U215" s="5">
        <f t="shared" si="7"/>
        <v>0</v>
      </c>
    </row>
    <row r="216" spans="1:21">
      <c r="A216" s="1" t="s">
        <v>242</v>
      </c>
      <c r="B216" s="1" t="s">
        <v>245</v>
      </c>
      <c r="C216" s="1">
        <v>2015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4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f t="shared" si="6"/>
        <v>0</v>
      </c>
      <c r="T216" s="1">
        <v>21450</v>
      </c>
      <c r="U216" s="5">
        <f t="shared" si="7"/>
        <v>0</v>
      </c>
    </row>
    <row r="217" spans="1:21">
      <c r="A217" s="1" t="s">
        <v>242</v>
      </c>
      <c r="B217" s="1" t="s">
        <v>246</v>
      </c>
      <c r="C217" s="1">
        <v>2016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4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f t="shared" si="6"/>
        <v>0</v>
      </c>
      <c r="T217" s="1">
        <v>22772</v>
      </c>
      <c r="U217" s="5">
        <f t="shared" si="7"/>
        <v>0</v>
      </c>
    </row>
    <row r="218" spans="1:21">
      <c r="A218" s="1" t="s">
        <v>242</v>
      </c>
      <c r="B218" s="1" t="s">
        <v>247</v>
      </c>
      <c r="C218" s="1">
        <v>2021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4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f t="shared" si="6"/>
        <v>0</v>
      </c>
      <c r="T218" s="1">
        <v>21962</v>
      </c>
      <c r="U218" s="5">
        <f t="shared" si="7"/>
        <v>0</v>
      </c>
    </row>
    <row r="219" spans="1:21">
      <c r="A219" s="1" t="s">
        <v>242</v>
      </c>
      <c r="B219" s="1" t="s">
        <v>248</v>
      </c>
      <c r="C219" s="1">
        <v>2022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4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f t="shared" si="6"/>
        <v>0</v>
      </c>
      <c r="T219" s="1">
        <v>22157</v>
      </c>
      <c r="U219" s="5">
        <f t="shared" si="7"/>
        <v>0</v>
      </c>
    </row>
    <row r="220" spans="1:21">
      <c r="A220" s="1" t="s">
        <v>242</v>
      </c>
      <c r="B220" s="1" t="s">
        <v>249</v>
      </c>
      <c r="C220" s="1" t="s">
        <v>47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4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f t="shared" si="6"/>
        <v>0</v>
      </c>
      <c r="T220" s="1">
        <v>21653</v>
      </c>
      <c r="U220" s="5">
        <f t="shared" si="7"/>
        <v>0</v>
      </c>
    </row>
    <row r="221" spans="1:21">
      <c r="A221" s="1" t="s">
        <v>242</v>
      </c>
      <c r="B221" s="1" t="s">
        <v>250</v>
      </c>
      <c r="C221" s="1" t="s">
        <v>22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4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f t="shared" si="6"/>
        <v>0</v>
      </c>
      <c r="T221" s="1">
        <v>21975</v>
      </c>
      <c r="U221" s="5">
        <f t="shared" si="7"/>
        <v>0</v>
      </c>
    </row>
    <row r="222" spans="1:21">
      <c r="A222" s="1" t="s">
        <v>242</v>
      </c>
      <c r="B222" s="1" t="s">
        <v>251</v>
      </c>
      <c r="C222" s="1" t="s">
        <v>30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4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f t="shared" si="6"/>
        <v>0</v>
      </c>
      <c r="T222" s="1">
        <v>22327</v>
      </c>
      <c r="U222" s="5">
        <f t="shared" si="7"/>
        <v>0</v>
      </c>
    </row>
    <row r="223" spans="1:21">
      <c r="A223" s="1" t="s">
        <v>252</v>
      </c>
      <c r="B223" s="1" t="s">
        <v>253</v>
      </c>
      <c r="C223" s="1" t="s">
        <v>41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4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f t="shared" si="6"/>
        <v>0</v>
      </c>
      <c r="T223" s="1">
        <v>30694</v>
      </c>
      <c r="U223" s="5">
        <f t="shared" si="7"/>
        <v>0</v>
      </c>
    </row>
    <row r="224" spans="1:21">
      <c r="A224" s="1" t="s">
        <v>252</v>
      </c>
      <c r="B224" s="1" t="s">
        <v>254</v>
      </c>
      <c r="C224" s="1" t="s">
        <v>43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4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f t="shared" si="6"/>
        <v>0</v>
      </c>
      <c r="T224" s="1">
        <v>30818</v>
      </c>
      <c r="U224" s="5">
        <f t="shared" si="7"/>
        <v>0</v>
      </c>
    </row>
    <row r="225" spans="1:21">
      <c r="A225" s="1" t="s">
        <v>252</v>
      </c>
      <c r="B225" s="1" t="s">
        <v>255</v>
      </c>
      <c r="C225" s="1" t="s">
        <v>45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1</v>
      </c>
      <c r="L225" s="1">
        <v>0</v>
      </c>
      <c r="M225" s="4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f t="shared" si="6"/>
        <v>2</v>
      </c>
      <c r="T225" s="1">
        <v>34275</v>
      </c>
      <c r="U225" s="5">
        <f t="shared" si="7"/>
        <v>5.83515681983953e-5</v>
      </c>
    </row>
    <row r="226" spans="1:21">
      <c r="A226" s="1" t="s">
        <v>252</v>
      </c>
      <c r="B226" s="1" t="s">
        <v>256</v>
      </c>
      <c r="C226" s="1" t="s">
        <v>47</v>
      </c>
      <c r="D226" s="1">
        <v>2</v>
      </c>
      <c r="E226" s="1">
        <v>0</v>
      </c>
      <c r="F226" s="1">
        <v>0</v>
      </c>
      <c r="G226" s="1">
        <v>0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4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f t="shared" si="6"/>
        <v>6</v>
      </c>
      <c r="T226" s="1">
        <v>34211</v>
      </c>
      <c r="U226" s="5">
        <f t="shared" si="7"/>
        <v>0.000175382187015872</v>
      </c>
    </row>
    <row r="227" spans="1:21">
      <c r="A227" s="1" t="s">
        <v>252</v>
      </c>
      <c r="B227" s="1" t="s">
        <v>257</v>
      </c>
      <c r="C227" s="1" t="s">
        <v>22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4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f t="shared" si="6"/>
        <v>0</v>
      </c>
      <c r="T227" s="1">
        <v>33748</v>
      </c>
      <c r="U227" s="5">
        <f t="shared" si="7"/>
        <v>0</v>
      </c>
    </row>
    <row r="228" spans="1:21">
      <c r="A228" s="1" t="s">
        <v>252</v>
      </c>
      <c r="B228" s="1" t="s">
        <v>258</v>
      </c>
      <c r="C228" s="1" t="s">
        <v>24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4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f t="shared" si="6"/>
        <v>0</v>
      </c>
      <c r="T228" s="1">
        <v>31987</v>
      </c>
      <c r="U228" s="5">
        <f t="shared" si="7"/>
        <v>0</v>
      </c>
    </row>
    <row r="229" spans="1:21">
      <c r="A229" s="1" t="s">
        <v>252</v>
      </c>
      <c r="B229" s="1" t="s">
        <v>259</v>
      </c>
      <c r="C229" s="1" t="s">
        <v>27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4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f t="shared" si="6"/>
        <v>0</v>
      </c>
      <c r="T229" s="1">
        <v>33479</v>
      </c>
      <c r="U229" s="5">
        <f t="shared" si="7"/>
        <v>0</v>
      </c>
    </row>
    <row r="230" spans="1:21">
      <c r="A230" s="1" t="s">
        <v>252</v>
      </c>
      <c r="B230" s="1" t="s">
        <v>260</v>
      </c>
      <c r="C230" s="1" t="s">
        <v>30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4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f t="shared" si="6"/>
        <v>0</v>
      </c>
      <c r="T230" s="1">
        <v>33527</v>
      </c>
      <c r="U230" s="5">
        <f t="shared" si="7"/>
        <v>0</v>
      </c>
    </row>
    <row r="231" spans="1:21">
      <c r="A231" s="1" t="s">
        <v>252</v>
      </c>
      <c r="B231" s="1" t="s">
        <v>261</v>
      </c>
      <c r="C231" s="1" t="s">
        <v>33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4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f t="shared" si="6"/>
        <v>0</v>
      </c>
      <c r="T231" s="1">
        <v>33623</v>
      </c>
      <c r="U231" s="5">
        <f t="shared" si="7"/>
        <v>0</v>
      </c>
    </row>
    <row r="232" spans="1:21">
      <c r="A232" s="1" t="s">
        <v>252</v>
      </c>
      <c r="B232" s="1" t="s">
        <v>262</v>
      </c>
      <c r="C232" s="1" t="s">
        <v>36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4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f t="shared" si="6"/>
        <v>0</v>
      </c>
      <c r="T232" s="1">
        <v>34228</v>
      </c>
      <c r="U232" s="5">
        <f t="shared" si="7"/>
        <v>0</v>
      </c>
    </row>
    <row r="233" spans="1:21">
      <c r="A233" s="1" t="s">
        <v>263</v>
      </c>
      <c r="B233" s="1" t="s">
        <v>264</v>
      </c>
      <c r="C233" s="1" t="s">
        <v>43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4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f t="shared" si="6"/>
        <v>0</v>
      </c>
      <c r="T233" s="1">
        <v>33044</v>
      </c>
      <c r="U233" s="5">
        <f t="shared" si="7"/>
        <v>0</v>
      </c>
    </row>
    <row r="234" spans="1:21">
      <c r="A234" s="1" t="s">
        <v>263</v>
      </c>
      <c r="B234" s="1" t="s">
        <v>265</v>
      </c>
      <c r="C234" s="1" t="s">
        <v>45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4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f t="shared" si="6"/>
        <v>0</v>
      </c>
      <c r="T234" s="1">
        <v>34454</v>
      </c>
      <c r="U234" s="5">
        <f t="shared" si="7"/>
        <v>0</v>
      </c>
    </row>
    <row r="235" spans="1:21">
      <c r="A235" s="1" t="s">
        <v>263</v>
      </c>
      <c r="B235" s="1" t="s">
        <v>266</v>
      </c>
      <c r="C235" s="1" t="s">
        <v>47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4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f t="shared" si="6"/>
        <v>0</v>
      </c>
      <c r="T235" s="1">
        <v>36319</v>
      </c>
      <c r="U235" s="5">
        <f t="shared" si="7"/>
        <v>0</v>
      </c>
    </row>
    <row r="236" spans="1:21">
      <c r="A236" s="1" t="s">
        <v>263</v>
      </c>
      <c r="B236" s="1" t="s">
        <v>267</v>
      </c>
      <c r="C236" s="1" t="s">
        <v>22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4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f t="shared" si="6"/>
        <v>0</v>
      </c>
      <c r="T236" s="1">
        <v>35204</v>
      </c>
      <c r="U236" s="5">
        <f t="shared" si="7"/>
        <v>0</v>
      </c>
    </row>
    <row r="237" spans="1:21">
      <c r="A237" s="1" t="s">
        <v>263</v>
      </c>
      <c r="B237" s="1" t="s">
        <v>268</v>
      </c>
      <c r="C237" s="1" t="s">
        <v>24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0</v>
      </c>
      <c r="M237" s="4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f t="shared" si="6"/>
        <v>2</v>
      </c>
      <c r="T237" s="1">
        <v>35840</v>
      </c>
      <c r="U237" s="5">
        <f t="shared" si="7"/>
        <v>5.58035714285714e-5</v>
      </c>
    </row>
    <row r="238" spans="1:21">
      <c r="A238" s="1" t="s">
        <v>263</v>
      </c>
      <c r="B238" s="1" t="s">
        <v>269</v>
      </c>
      <c r="C238" s="1" t="s">
        <v>27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  <c r="L238" s="1">
        <v>0</v>
      </c>
      <c r="M238" s="4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f t="shared" si="6"/>
        <v>2</v>
      </c>
      <c r="T238" s="1">
        <v>34135</v>
      </c>
      <c r="U238" s="5">
        <f t="shared" si="7"/>
        <v>5.85908891167423e-5</v>
      </c>
    </row>
    <row r="239" spans="1:21">
      <c r="A239" s="1" t="s">
        <v>263</v>
      </c>
      <c r="B239" s="1" t="s">
        <v>270</v>
      </c>
      <c r="C239" s="1" t="s">
        <v>36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2</v>
      </c>
      <c r="L239" s="1">
        <v>0</v>
      </c>
      <c r="M239" s="4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f t="shared" si="6"/>
        <v>4</v>
      </c>
      <c r="T239" s="1">
        <v>43030</v>
      </c>
      <c r="U239" s="5">
        <f t="shared" si="7"/>
        <v>9.29584011155008e-5</v>
      </c>
    </row>
    <row r="240" spans="1:21">
      <c r="A240" s="1" t="s">
        <v>263</v>
      </c>
      <c r="B240" s="1" t="s">
        <v>271</v>
      </c>
      <c r="C240" s="1" t="s">
        <v>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</v>
      </c>
      <c r="L240" s="1">
        <v>0</v>
      </c>
      <c r="M240" s="4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f t="shared" si="6"/>
        <v>2</v>
      </c>
      <c r="T240" s="1">
        <v>36003</v>
      </c>
      <c r="U240" s="5">
        <f t="shared" si="7"/>
        <v>5.55509263116962e-5</v>
      </c>
    </row>
    <row r="241" spans="1:21">
      <c r="A241" s="1" t="s">
        <v>263</v>
      </c>
      <c r="B241" s="1" t="s">
        <v>272</v>
      </c>
      <c r="C241" s="1" t="s">
        <v>30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0</v>
      </c>
      <c r="M241" s="4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f t="shared" si="6"/>
        <v>2</v>
      </c>
      <c r="T241" s="1">
        <v>35261</v>
      </c>
      <c r="U241" s="5">
        <f t="shared" si="7"/>
        <v>5.67198888290179e-5</v>
      </c>
    </row>
    <row r="242" spans="1:21">
      <c r="A242" s="1" t="s">
        <v>263</v>
      </c>
      <c r="B242" s="1" t="s">
        <v>273</v>
      </c>
      <c r="C242" s="1" t="s">
        <v>41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4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f t="shared" si="6"/>
        <v>0</v>
      </c>
      <c r="T242" s="1">
        <v>33099</v>
      </c>
      <c r="U242" s="5">
        <f t="shared" si="7"/>
        <v>0</v>
      </c>
    </row>
    <row r="243" spans="1:21">
      <c r="A243" s="1" t="s">
        <v>274</v>
      </c>
      <c r="B243" s="1" t="s">
        <v>275</v>
      </c>
      <c r="C243" s="1" t="s">
        <v>30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4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</v>
      </c>
      <c r="S243" s="1">
        <f t="shared" si="6"/>
        <v>2</v>
      </c>
      <c r="T243" s="1">
        <v>4889</v>
      </c>
      <c r="U243" s="5">
        <f t="shared" si="7"/>
        <v>0.00040908161178155</v>
      </c>
    </row>
    <row r="244" spans="1:21">
      <c r="A244" s="1" t="s">
        <v>274</v>
      </c>
      <c r="B244" s="1" t="s">
        <v>276</v>
      </c>
      <c r="C244" s="1" t="s">
        <v>33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4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</v>
      </c>
      <c r="S244" s="1">
        <f t="shared" si="6"/>
        <v>2</v>
      </c>
      <c r="T244" s="1">
        <v>6131</v>
      </c>
      <c r="U244" s="5">
        <f t="shared" si="7"/>
        <v>0.000326211058554885</v>
      </c>
    </row>
    <row r="245" spans="1:21">
      <c r="A245" s="1" t="s">
        <v>274</v>
      </c>
      <c r="B245" s="1" t="s">
        <v>277</v>
      </c>
      <c r="C245" s="1" t="s">
        <v>36</v>
      </c>
      <c r="D245" s="1">
        <v>1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4">
        <v>0</v>
      </c>
      <c r="N245" s="1">
        <v>0</v>
      </c>
      <c r="O245" s="1">
        <v>0</v>
      </c>
      <c r="P245" s="1">
        <v>0</v>
      </c>
      <c r="Q245" s="1">
        <v>0</v>
      </c>
      <c r="R245" s="1">
        <v>1</v>
      </c>
      <c r="S245" s="1">
        <f t="shared" si="6"/>
        <v>5</v>
      </c>
      <c r="T245" s="1">
        <v>7532</v>
      </c>
      <c r="U245" s="5">
        <f t="shared" si="7"/>
        <v>0.000663834306956984</v>
      </c>
    </row>
    <row r="246" spans="1:21">
      <c r="A246" s="1" t="s">
        <v>278</v>
      </c>
      <c r="B246" s="1" t="s">
        <v>279</v>
      </c>
      <c r="C246" s="1" t="s">
        <v>22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4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f t="shared" si="6"/>
        <v>0</v>
      </c>
      <c r="T246" s="1">
        <v>65248</v>
      </c>
      <c r="U246" s="5">
        <f t="shared" si="7"/>
        <v>0</v>
      </c>
    </row>
    <row r="247" spans="1:21">
      <c r="A247" s="1" t="s">
        <v>278</v>
      </c>
      <c r="B247" s="1" t="s">
        <v>280</v>
      </c>
      <c r="C247" s="1" t="s">
        <v>24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4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f t="shared" si="6"/>
        <v>0</v>
      </c>
      <c r="T247" s="1">
        <v>65840</v>
      </c>
      <c r="U247" s="5">
        <f t="shared" si="7"/>
        <v>0</v>
      </c>
    </row>
    <row r="248" spans="1:21">
      <c r="A248" s="1" t="s">
        <v>278</v>
      </c>
      <c r="B248" s="1" t="s">
        <v>281</v>
      </c>
      <c r="C248" s="1" t="s">
        <v>27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4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f t="shared" si="6"/>
        <v>0</v>
      </c>
      <c r="T248" s="1">
        <v>70813</v>
      </c>
      <c r="U248" s="5">
        <f t="shared" si="7"/>
        <v>0</v>
      </c>
    </row>
    <row r="249" spans="1:21">
      <c r="A249" s="1" t="s">
        <v>278</v>
      </c>
      <c r="B249" s="1" t="s">
        <v>282</v>
      </c>
      <c r="C249" s="1" t="s">
        <v>30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4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f t="shared" si="6"/>
        <v>0</v>
      </c>
      <c r="T249" s="1">
        <v>115075</v>
      </c>
      <c r="U249" s="5">
        <f t="shared" si="7"/>
        <v>0</v>
      </c>
    </row>
    <row r="250" spans="1:21">
      <c r="A250" s="1" t="s">
        <v>278</v>
      </c>
      <c r="B250" s="1" t="s">
        <v>283</v>
      </c>
      <c r="C250" s="1" t="s">
        <v>33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4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f t="shared" si="6"/>
        <v>0</v>
      </c>
      <c r="T250" s="1">
        <v>120501</v>
      </c>
      <c r="U250" s="5">
        <f t="shared" si="7"/>
        <v>0</v>
      </c>
    </row>
    <row r="251" spans="1:21">
      <c r="A251" s="1" t="s">
        <v>278</v>
      </c>
      <c r="B251" s="1" t="s">
        <v>284</v>
      </c>
      <c r="C251" s="1">
        <v>2023</v>
      </c>
      <c r="D251" s="1">
        <v>0</v>
      </c>
      <c r="E251" s="1">
        <v>0</v>
      </c>
      <c r="F251" s="1">
        <v>0</v>
      </c>
      <c r="G251" s="1">
        <v>4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4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f t="shared" si="6"/>
        <v>4</v>
      </c>
      <c r="T251" s="1">
        <v>122651</v>
      </c>
      <c r="U251" s="5">
        <f t="shared" si="7"/>
        <v>3.26128608816887e-5</v>
      </c>
    </row>
    <row r="252" spans="1:21">
      <c r="A252" s="1" t="s">
        <v>278</v>
      </c>
      <c r="B252" s="1" t="s">
        <v>285</v>
      </c>
      <c r="C252" s="1" t="s">
        <v>41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4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f t="shared" si="6"/>
        <v>0</v>
      </c>
      <c r="T252" s="1">
        <v>67611</v>
      </c>
      <c r="U252" s="5">
        <f t="shared" si="7"/>
        <v>0</v>
      </c>
    </row>
    <row r="253" spans="1:21">
      <c r="A253" s="1" t="s">
        <v>278</v>
      </c>
      <c r="B253" s="1" t="s">
        <v>286</v>
      </c>
      <c r="C253" s="1" t="s">
        <v>43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4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f t="shared" si="6"/>
        <v>0</v>
      </c>
      <c r="T253" s="1">
        <v>61739</v>
      </c>
      <c r="U253" s="5">
        <f t="shared" si="7"/>
        <v>0</v>
      </c>
    </row>
    <row r="254" spans="1:21">
      <c r="A254" s="1" t="s">
        <v>278</v>
      </c>
      <c r="B254" s="1" t="s">
        <v>287</v>
      </c>
      <c r="C254" s="1" t="s">
        <v>45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4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f t="shared" si="6"/>
        <v>0</v>
      </c>
      <c r="T254" s="1">
        <v>67505</v>
      </c>
      <c r="U254" s="5">
        <f t="shared" si="7"/>
        <v>0</v>
      </c>
    </row>
    <row r="255" spans="1:21">
      <c r="A255" s="1" t="s">
        <v>278</v>
      </c>
      <c r="B255" s="1" t="s">
        <v>288</v>
      </c>
      <c r="C255" s="1" t="s">
        <v>47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4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f t="shared" si="6"/>
        <v>0</v>
      </c>
      <c r="T255" s="1">
        <v>65461</v>
      </c>
      <c r="U255" s="5">
        <f t="shared" si="7"/>
        <v>0</v>
      </c>
    </row>
    <row r="256" spans="1:21">
      <c r="A256" s="1" t="s">
        <v>289</v>
      </c>
      <c r="B256" s="1" t="s">
        <v>290</v>
      </c>
      <c r="C256" s="1" t="s">
        <v>41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4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f t="shared" si="6"/>
        <v>0</v>
      </c>
      <c r="T256" s="1">
        <v>37764</v>
      </c>
      <c r="U256" s="5">
        <f t="shared" si="7"/>
        <v>0</v>
      </c>
    </row>
    <row r="257" spans="1:21">
      <c r="A257" s="1" t="s">
        <v>289</v>
      </c>
      <c r="B257" s="1" t="s">
        <v>291</v>
      </c>
      <c r="C257" s="1" t="s">
        <v>43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4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f t="shared" si="6"/>
        <v>0</v>
      </c>
      <c r="T257" s="1">
        <v>36041</v>
      </c>
      <c r="U257" s="5">
        <f t="shared" si="7"/>
        <v>0</v>
      </c>
    </row>
    <row r="258" spans="1:21">
      <c r="A258" s="1" t="s">
        <v>289</v>
      </c>
      <c r="B258" s="1" t="s">
        <v>292</v>
      </c>
      <c r="C258" s="1" t="s">
        <v>45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4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f t="shared" ref="S258:S321" si="8">D258*2+E258*2+F258*2+G258*1+H258*2+I258*2+J258*2+K258*2+L258*2+M258*2+N258*2+O258*2+P258*2+Q258*2+R258*2</f>
        <v>0</v>
      </c>
      <c r="T258" s="1">
        <v>90948</v>
      </c>
      <c r="U258" s="5">
        <f t="shared" ref="U258:U321" si="9">S258/T258</f>
        <v>0</v>
      </c>
    </row>
    <row r="259" spans="1:21">
      <c r="A259" s="1" t="s">
        <v>289</v>
      </c>
      <c r="B259" s="1" t="s">
        <v>293</v>
      </c>
      <c r="C259" s="1" t="s">
        <v>47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3</v>
      </c>
      <c r="L259" s="1">
        <v>0</v>
      </c>
      <c r="M259" s="4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f t="shared" si="8"/>
        <v>6</v>
      </c>
      <c r="T259" s="1">
        <v>58035</v>
      </c>
      <c r="U259" s="5">
        <f t="shared" si="9"/>
        <v>0.000103385887826312</v>
      </c>
    </row>
    <row r="260" spans="1:21">
      <c r="A260" s="1" t="s">
        <v>289</v>
      </c>
      <c r="B260" s="1" t="s">
        <v>294</v>
      </c>
      <c r="C260" s="1" t="s">
        <v>22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4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f t="shared" si="8"/>
        <v>0</v>
      </c>
      <c r="T260" s="1">
        <v>37786</v>
      </c>
      <c r="U260" s="5">
        <f t="shared" si="9"/>
        <v>0</v>
      </c>
    </row>
    <row r="261" spans="1:21">
      <c r="A261" s="1" t="s">
        <v>289</v>
      </c>
      <c r="B261" s="1" t="s">
        <v>295</v>
      </c>
      <c r="C261" s="1" t="s">
        <v>24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4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f t="shared" si="8"/>
        <v>0</v>
      </c>
      <c r="T261" s="1">
        <v>38910</v>
      </c>
      <c r="U261" s="5">
        <f t="shared" si="9"/>
        <v>0</v>
      </c>
    </row>
    <row r="262" spans="1:21">
      <c r="A262" s="1" t="s">
        <v>289</v>
      </c>
      <c r="B262" s="1" t="s">
        <v>296</v>
      </c>
      <c r="C262" s="1" t="s">
        <v>27</v>
      </c>
      <c r="D262" s="1">
        <v>3</v>
      </c>
      <c r="E262" s="1">
        <v>0</v>
      </c>
      <c r="F262" s="1">
        <v>0</v>
      </c>
      <c r="G262" s="1">
        <v>2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4">
        <v>0</v>
      </c>
      <c r="N262" s="1">
        <v>0</v>
      </c>
      <c r="O262" s="1">
        <v>0</v>
      </c>
      <c r="P262" s="1">
        <v>0</v>
      </c>
      <c r="Q262" s="1">
        <v>0</v>
      </c>
      <c r="R262" s="1">
        <v>1</v>
      </c>
      <c r="S262" s="1">
        <f t="shared" si="8"/>
        <v>12</v>
      </c>
      <c r="T262" s="1">
        <v>43710</v>
      </c>
      <c r="U262" s="5">
        <f t="shared" si="9"/>
        <v>0.000274536719286205</v>
      </c>
    </row>
    <row r="263" spans="1:21">
      <c r="A263" s="1" t="s">
        <v>289</v>
      </c>
      <c r="B263" s="1" t="s">
        <v>297</v>
      </c>
      <c r="C263" s="1" t="s">
        <v>30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4">
        <v>0</v>
      </c>
      <c r="N263" s="1">
        <v>0</v>
      </c>
      <c r="O263" s="1">
        <v>0</v>
      </c>
      <c r="P263" s="1">
        <v>0</v>
      </c>
      <c r="Q263" s="1">
        <v>0</v>
      </c>
      <c r="R263" s="1">
        <v>1</v>
      </c>
      <c r="S263" s="1">
        <f t="shared" si="8"/>
        <v>4</v>
      </c>
      <c r="T263" s="1">
        <v>41624</v>
      </c>
      <c r="U263" s="5">
        <f t="shared" si="9"/>
        <v>9.60984047664809e-5</v>
      </c>
    </row>
    <row r="264" spans="1:21">
      <c r="A264" s="1" t="s">
        <v>289</v>
      </c>
      <c r="B264" s="1" t="s">
        <v>298</v>
      </c>
      <c r="C264" s="1" t="s">
        <v>33</v>
      </c>
      <c r="D264" s="1">
        <v>1</v>
      </c>
      <c r="E264" s="1">
        <v>1</v>
      </c>
      <c r="F264" s="1">
        <v>0</v>
      </c>
      <c r="G264" s="1">
        <v>1</v>
      </c>
      <c r="H264" s="1">
        <v>0</v>
      </c>
      <c r="I264" s="1">
        <v>2</v>
      </c>
      <c r="J264" s="1">
        <v>0</v>
      </c>
      <c r="K264" s="1">
        <v>0</v>
      </c>
      <c r="L264" s="1">
        <v>0</v>
      </c>
      <c r="M264" s="4">
        <v>0</v>
      </c>
      <c r="N264" s="1">
        <v>1</v>
      </c>
      <c r="O264" s="1">
        <v>0</v>
      </c>
      <c r="P264" s="1">
        <v>0</v>
      </c>
      <c r="Q264" s="1">
        <v>0</v>
      </c>
      <c r="R264" s="1">
        <v>2</v>
      </c>
      <c r="S264" s="1">
        <f t="shared" si="8"/>
        <v>15</v>
      </c>
      <c r="T264" s="1">
        <v>63251</v>
      </c>
      <c r="U264" s="5">
        <f t="shared" si="9"/>
        <v>0.000237150400784177</v>
      </c>
    </row>
    <row r="265" spans="1:21">
      <c r="A265" s="1" t="s">
        <v>289</v>
      </c>
      <c r="B265" s="1" t="s">
        <v>299</v>
      </c>
      <c r="C265" s="1" t="s">
        <v>36</v>
      </c>
      <c r="D265" s="1">
        <v>1</v>
      </c>
      <c r="E265" s="1">
        <v>0</v>
      </c>
      <c r="F265" s="1">
        <v>0</v>
      </c>
      <c r="G265" s="1">
        <v>5</v>
      </c>
      <c r="H265" s="1">
        <v>0</v>
      </c>
      <c r="I265" s="1">
        <v>2</v>
      </c>
      <c r="J265" s="1">
        <v>0</v>
      </c>
      <c r="K265" s="1">
        <v>0</v>
      </c>
      <c r="L265" s="1">
        <v>0</v>
      </c>
      <c r="M265" s="4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</v>
      </c>
      <c r="S265" s="1">
        <f t="shared" si="8"/>
        <v>13</v>
      </c>
      <c r="T265" s="1">
        <v>77049</v>
      </c>
      <c r="U265" s="5">
        <f t="shared" si="9"/>
        <v>0.000168723799140806</v>
      </c>
    </row>
    <row r="266" spans="1:21">
      <c r="A266" s="1" t="s">
        <v>300</v>
      </c>
      <c r="B266" s="1" t="s">
        <v>301</v>
      </c>
      <c r="C266" s="1" t="s">
        <v>47</v>
      </c>
      <c r="D266" s="1">
        <v>3</v>
      </c>
      <c r="E266" s="1">
        <v>0</v>
      </c>
      <c r="F266" s="1">
        <v>0</v>
      </c>
      <c r="G266" s="1">
        <v>0</v>
      </c>
      <c r="H266" s="1">
        <v>2</v>
      </c>
      <c r="I266" s="1">
        <v>0</v>
      </c>
      <c r="J266" s="1">
        <v>0</v>
      </c>
      <c r="K266" s="1">
        <v>0</v>
      </c>
      <c r="L266" s="1">
        <v>0</v>
      </c>
      <c r="M266" s="4">
        <v>0</v>
      </c>
      <c r="N266" s="1">
        <v>0</v>
      </c>
      <c r="O266" s="1">
        <v>0</v>
      </c>
      <c r="P266" s="1">
        <v>1</v>
      </c>
      <c r="Q266" s="1">
        <v>0</v>
      </c>
      <c r="R266" s="1">
        <v>2</v>
      </c>
      <c r="S266" s="1">
        <f t="shared" si="8"/>
        <v>16</v>
      </c>
      <c r="T266" s="1">
        <v>54676</v>
      </c>
      <c r="U266" s="5">
        <f t="shared" si="9"/>
        <v>0.000292632965103519</v>
      </c>
    </row>
    <row r="267" spans="1:21">
      <c r="A267" s="1" t="s">
        <v>300</v>
      </c>
      <c r="B267" s="1" t="s">
        <v>302</v>
      </c>
      <c r="C267" s="1" t="s">
        <v>22</v>
      </c>
      <c r="D267" s="1">
        <v>6</v>
      </c>
      <c r="E267" s="1">
        <v>0</v>
      </c>
      <c r="F267" s="1">
        <v>0</v>
      </c>
      <c r="G267" s="1">
        <v>0</v>
      </c>
      <c r="H267" s="1">
        <v>5</v>
      </c>
      <c r="I267" s="1">
        <v>0</v>
      </c>
      <c r="J267" s="1">
        <v>0</v>
      </c>
      <c r="K267" s="1">
        <v>0</v>
      </c>
      <c r="L267" s="1">
        <v>0</v>
      </c>
      <c r="M267" s="4">
        <v>0</v>
      </c>
      <c r="N267" s="1">
        <v>0</v>
      </c>
      <c r="O267" s="1">
        <v>0</v>
      </c>
      <c r="P267" s="1">
        <v>0</v>
      </c>
      <c r="Q267" s="1">
        <v>0</v>
      </c>
      <c r="R267" s="1">
        <v>4</v>
      </c>
      <c r="S267" s="1">
        <f t="shared" si="8"/>
        <v>30</v>
      </c>
      <c r="T267" s="1">
        <v>65417</v>
      </c>
      <c r="U267" s="5">
        <f t="shared" si="9"/>
        <v>0.000458596389317761</v>
      </c>
    </row>
    <row r="268" spans="1:21">
      <c r="A268" s="1" t="s">
        <v>300</v>
      </c>
      <c r="B268" s="1" t="s">
        <v>303</v>
      </c>
      <c r="C268" s="1" t="s">
        <v>24</v>
      </c>
      <c r="D268" s="1">
        <v>3</v>
      </c>
      <c r="E268" s="1">
        <v>0</v>
      </c>
      <c r="F268" s="1">
        <v>0</v>
      </c>
      <c r="G268" s="1">
        <v>4</v>
      </c>
      <c r="H268" s="1">
        <v>2</v>
      </c>
      <c r="I268" s="1">
        <v>0</v>
      </c>
      <c r="J268" s="1">
        <v>0</v>
      </c>
      <c r="K268" s="1">
        <v>0</v>
      </c>
      <c r="L268" s="1">
        <v>0</v>
      </c>
      <c r="M268" s="4">
        <v>0</v>
      </c>
      <c r="N268" s="1">
        <v>0</v>
      </c>
      <c r="O268" s="1">
        <v>0</v>
      </c>
      <c r="P268" s="1">
        <v>0</v>
      </c>
      <c r="Q268" s="1">
        <v>0</v>
      </c>
      <c r="R268" s="1">
        <v>1</v>
      </c>
      <c r="S268" s="1">
        <f t="shared" si="8"/>
        <v>16</v>
      </c>
      <c r="T268" s="1">
        <v>25030</v>
      </c>
      <c r="U268" s="5">
        <f t="shared" si="9"/>
        <v>0.000639232920495405</v>
      </c>
    </row>
    <row r="269" spans="1:21">
      <c r="A269" s="1" t="s">
        <v>300</v>
      </c>
      <c r="B269" s="1" t="s">
        <v>304</v>
      </c>
      <c r="C269" s="1" t="s">
        <v>27</v>
      </c>
      <c r="D269" s="1">
        <v>2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4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f t="shared" si="8"/>
        <v>4</v>
      </c>
      <c r="T269" s="1">
        <v>32711</v>
      </c>
      <c r="U269" s="5">
        <f t="shared" si="9"/>
        <v>0.000122283024059185</v>
      </c>
    </row>
    <row r="270" spans="1:21">
      <c r="A270" s="1" t="s">
        <v>300</v>
      </c>
      <c r="B270" s="1" t="s">
        <v>305</v>
      </c>
      <c r="C270" s="1" t="s">
        <v>33</v>
      </c>
      <c r="D270" s="1">
        <v>6</v>
      </c>
      <c r="E270" s="1">
        <v>0</v>
      </c>
      <c r="F270" s="1">
        <v>0</v>
      </c>
      <c r="G270" s="1">
        <v>9</v>
      </c>
      <c r="H270" s="1">
        <v>4</v>
      </c>
      <c r="I270" s="1">
        <v>0</v>
      </c>
      <c r="J270" s="1">
        <v>0</v>
      </c>
      <c r="K270" s="1">
        <v>0</v>
      </c>
      <c r="L270" s="1">
        <v>0</v>
      </c>
      <c r="M270" s="4">
        <v>0</v>
      </c>
      <c r="N270" s="1">
        <v>0</v>
      </c>
      <c r="O270" s="1">
        <v>0</v>
      </c>
      <c r="P270" s="1">
        <v>0</v>
      </c>
      <c r="Q270" s="1">
        <v>0</v>
      </c>
      <c r="R270" s="1">
        <v>1</v>
      </c>
      <c r="S270" s="1">
        <f t="shared" si="8"/>
        <v>31</v>
      </c>
      <c r="T270" s="1">
        <v>38384</v>
      </c>
      <c r="U270" s="5">
        <f t="shared" si="9"/>
        <v>0.00080762817840767</v>
      </c>
    </row>
    <row r="271" spans="1:21">
      <c r="A271" s="1" t="s">
        <v>300</v>
      </c>
      <c r="B271" s="1" t="s">
        <v>306</v>
      </c>
      <c r="C271" s="1" t="s">
        <v>36</v>
      </c>
      <c r="D271" s="1">
        <v>3</v>
      </c>
      <c r="E271" s="1">
        <v>0</v>
      </c>
      <c r="F271" s="1">
        <v>0</v>
      </c>
      <c r="G271" s="1">
        <v>14</v>
      </c>
      <c r="H271" s="1">
        <v>1</v>
      </c>
      <c r="I271" s="1">
        <v>0</v>
      </c>
      <c r="J271" s="1">
        <v>0</v>
      </c>
      <c r="K271" s="1">
        <v>1</v>
      </c>
      <c r="L271" s="1">
        <v>0</v>
      </c>
      <c r="M271" s="4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f t="shared" si="8"/>
        <v>24</v>
      </c>
      <c r="T271" s="1">
        <v>75598</v>
      </c>
      <c r="U271" s="5">
        <f t="shared" si="9"/>
        <v>0.000317468716103601</v>
      </c>
    </row>
    <row r="272" spans="1:21">
      <c r="A272" s="1" t="s">
        <v>300</v>
      </c>
      <c r="B272" s="1" t="s">
        <v>307</v>
      </c>
      <c r="C272" s="1" t="s">
        <v>45</v>
      </c>
      <c r="D272" s="1">
        <v>0</v>
      </c>
      <c r="E272" s="1">
        <v>0</v>
      </c>
      <c r="F272" s="1">
        <v>0</v>
      </c>
      <c r="G272" s="1">
        <v>0</v>
      </c>
      <c r="H272" s="1">
        <v>4</v>
      </c>
      <c r="I272" s="1">
        <v>0</v>
      </c>
      <c r="J272" s="1">
        <v>0</v>
      </c>
      <c r="K272" s="1">
        <v>0</v>
      </c>
      <c r="L272" s="1">
        <v>0</v>
      </c>
      <c r="M272" s="4">
        <v>0</v>
      </c>
      <c r="N272" s="1">
        <v>0</v>
      </c>
      <c r="O272" s="1">
        <v>0</v>
      </c>
      <c r="P272" s="1">
        <v>1</v>
      </c>
      <c r="Q272" s="1">
        <v>1</v>
      </c>
      <c r="R272" s="1">
        <v>0</v>
      </c>
      <c r="S272" s="1">
        <f t="shared" si="8"/>
        <v>12</v>
      </c>
      <c r="T272" s="1">
        <v>57012</v>
      </c>
      <c r="U272" s="5">
        <f t="shared" si="9"/>
        <v>0.000210482003788676</v>
      </c>
    </row>
    <row r="273" spans="1:21">
      <c r="A273" s="1" t="s">
        <v>300</v>
      </c>
      <c r="B273" s="1" t="s">
        <v>308</v>
      </c>
      <c r="C273" s="1" t="s">
        <v>43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4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f t="shared" si="8"/>
        <v>2</v>
      </c>
      <c r="T273" s="1">
        <v>51802</v>
      </c>
      <c r="U273" s="5">
        <f t="shared" si="9"/>
        <v>3.86085479325123e-5</v>
      </c>
    </row>
    <row r="274" spans="1:21">
      <c r="A274" s="1" t="s">
        <v>300</v>
      </c>
      <c r="B274" s="1" t="s">
        <v>309</v>
      </c>
      <c r="C274" s="1" t="s">
        <v>30</v>
      </c>
      <c r="D274" s="1">
        <v>3</v>
      </c>
      <c r="E274" s="1">
        <v>0</v>
      </c>
      <c r="F274" s="1">
        <v>0</v>
      </c>
      <c r="G274" s="1">
        <v>6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4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f t="shared" si="8"/>
        <v>14</v>
      </c>
      <c r="T274" s="1">
        <v>40713</v>
      </c>
      <c r="U274" s="5">
        <f t="shared" si="9"/>
        <v>0.000343870508191487</v>
      </c>
    </row>
    <row r="275" spans="1:21">
      <c r="A275" s="1" t="s">
        <v>310</v>
      </c>
      <c r="B275" s="1" t="s">
        <v>311</v>
      </c>
      <c r="C275" s="1" t="s">
        <v>43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4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f t="shared" si="8"/>
        <v>0</v>
      </c>
      <c r="T275" s="1">
        <v>43700</v>
      </c>
      <c r="U275" s="5">
        <f t="shared" si="9"/>
        <v>0</v>
      </c>
    </row>
    <row r="276" spans="1:21">
      <c r="A276" s="1" t="s">
        <v>310</v>
      </c>
      <c r="B276" s="1" t="s">
        <v>312</v>
      </c>
      <c r="C276" s="1" t="s">
        <v>45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4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f t="shared" si="8"/>
        <v>0</v>
      </c>
      <c r="T276" s="1">
        <v>40268</v>
      </c>
      <c r="U276" s="5">
        <f t="shared" si="9"/>
        <v>0</v>
      </c>
    </row>
    <row r="277" spans="1:21">
      <c r="A277" s="1" t="s">
        <v>310</v>
      </c>
      <c r="B277" s="1" t="s">
        <v>313</v>
      </c>
      <c r="C277" s="1" t="s">
        <v>47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1</v>
      </c>
      <c r="K277" s="1">
        <v>0</v>
      </c>
      <c r="L277" s="1">
        <v>0</v>
      </c>
      <c r="M277" s="4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f t="shared" si="8"/>
        <v>2</v>
      </c>
      <c r="T277" s="1">
        <v>40843</v>
      </c>
      <c r="U277" s="5">
        <f t="shared" si="9"/>
        <v>4.8967999412384e-5</v>
      </c>
    </row>
    <row r="278" spans="1:21">
      <c r="A278" s="1" t="s">
        <v>310</v>
      </c>
      <c r="B278" s="1" t="s">
        <v>314</v>
      </c>
      <c r="C278" s="1" t="s">
        <v>22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4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f t="shared" si="8"/>
        <v>0</v>
      </c>
      <c r="T278" s="1">
        <v>38677</v>
      </c>
      <c r="U278" s="5">
        <f t="shared" si="9"/>
        <v>0</v>
      </c>
    </row>
    <row r="279" spans="1:21">
      <c r="A279" s="1" t="s">
        <v>310</v>
      </c>
      <c r="B279" s="1" t="s">
        <v>315</v>
      </c>
      <c r="C279" s="1" t="s">
        <v>24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4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f t="shared" si="8"/>
        <v>0</v>
      </c>
      <c r="T279" s="1">
        <v>37823</v>
      </c>
      <c r="U279" s="5">
        <f t="shared" si="9"/>
        <v>0</v>
      </c>
    </row>
    <row r="280" spans="1:21">
      <c r="A280" s="1" t="s">
        <v>310</v>
      </c>
      <c r="B280" s="1" t="s">
        <v>316</v>
      </c>
      <c r="C280" s="1" t="s">
        <v>27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4">
        <v>0</v>
      </c>
      <c r="N280" s="1">
        <v>0</v>
      </c>
      <c r="O280" s="1">
        <v>0</v>
      </c>
      <c r="P280" s="1">
        <v>1</v>
      </c>
      <c r="Q280" s="1">
        <v>0</v>
      </c>
      <c r="R280" s="1">
        <v>0</v>
      </c>
      <c r="S280" s="1">
        <f t="shared" si="8"/>
        <v>2</v>
      </c>
      <c r="T280" s="1">
        <v>38367</v>
      </c>
      <c r="U280" s="5">
        <f t="shared" si="9"/>
        <v>5.21281309458649e-5</v>
      </c>
    </row>
    <row r="281" spans="1:21">
      <c r="A281" s="1" t="s">
        <v>310</v>
      </c>
      <c r="B281" s="1" t="s">
        <v>317</v>
      </c>
      <c r="C281" s="1" t="s">
        <v>30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4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f t="shared" si="8"/>
        <v>0</v>
      </c>
      <c r="T281" s="1">
        <v>39470</v>
      </c>
      <c r="U281" s="5">
        <f t="shared" si="9"/>
        <v>0</v>
      </c>
    </row>
    <row r="282" spans="1:21">
      <c r="A282" s="1" t="s">
        <v>310</v>
      </c>
      <c r="B282" s="1" t="s">
        <v>32</v>
      </c>
      <c r="C282" s="1" t="s">
        <v>33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4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f t="shared" si="8"/>
        <v>0</v>
      </c>
      <c r="T282" s="1">
        <v>40235</v>
      </c>
      <c r="U282" s="5">
        <f t="shared" si="9"/>
        <v>0</v>
      </c>
    </row>
    <row r="283" spans="1:21">
      <c r="A283" s="1" t="s">
        <v>310</v>
      </c>
      <c r="B283" s="1" t="s">
        <v>318</v>
      </c>
      <c r="C283" s="1" t="s">
        <v>36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4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f t="shared" si="8"/>
        <v>0</v>
      </c>
      <c r="T283" s="1">
        <v>21423</v>
      </c>
      <c r="U283" s="5">
        <f t="shared" si="9"/>
        <v>0</v>
      </c>
    </row>
    <row r="284" spans="1:21">
      <c r="A284" s="1" t="s">
        <v>310</v>
      </c>
      <c r="B284" s="1" t="s">
        <v>319</v>
      </c>
      <c r="C284" s="1" t="s">
        <v>41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4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f t="shared" si="8"/>
        <v>0</v>
      </c>
      <c r="T284" s="1">
        <v>42916</v>
      </c>
      <c r="U284" s="5">
        <f t="shared" si="9"/>
        <v>0</v>
      </c>
    </row>
    <row r="285" spans="1:21">
      <c r="A285" s="1" t="s">
        <v>320</v>
      </c>
      <c r="B285" s="1" t="s">
        <v>321</v>
      </c>
      <c r="C285" s="1" t="s">
        <v>41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4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f t="shared" si="8"/>
        <v>0</v>
      </c>
      <c r="T285" s="1">
        <v>19650</v>
      </c>
      <c r="U285" s="5">
        <f t="shared" si="9"/>
        <v>0</v>
      </c>
    </row>
    <row r="286" spans="1:21">
      <c r="A286" s="1" t="s">
        <v>320</v>
      </c>
      <c r="B286" s="1" t="s">
        <v>322</v>
      </c>
      <c r="C286" s="1" t="s">
        <v>43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4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f t="shared" si="8"/>
        <v>0</v>
      </c>
      <c r="T286" s="1">
        <v>20600</v>
      </c>
      <c r="U286" s="5">
        <f t="shared" si="9"/>
        <v>0</v>
      </c>
    </row>
    <row r="287" spans="1:21">
      <c r="A287" s="1" t="s">
        <v>320</v>
      </c>
      <c r="B287" s="1" t="s">
        <v>323</v>
      </c>
      <c r="C287" s="1" t="s">
        <v>45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4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f t="shared" si="8"/>
        <v>0</v>
      </c>
      <c r="T287" s="1">
        <v>22815</v>
      </c>
      <c r="U287" s="5">
        <f t="shared" si="9"/>
        <v>0</v>
      </c>
    </row>
    <row r="288" spans="1:21">
      <c r="A288" s="1" t="s">
        <v>320</v>
      </c>
      <c r="B288" s="1" t="s">
        <v>324</v>
      </c>
      <c r="C288" s="1" t="s">
        <v>47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4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f t="shared" si="8"/>
        <v>0</v>
      </c>
      <c r="T288" s="1">
        <v>23231</v>
      </c>
      <c r="U288" s="5">
        <f t="shared" si="9"/>
        <v>0</v>
      </c>
    </row>
    <row r="289" spans="1:21">
      <c r="A289" s="1" t="s">
        <v>320</v>
      </c>
      <c r="B289" s="1" t="s">
        <v>325</v>
      </c>
      <c r="C289" s="1" t="s">
        <v>22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4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f t="shared" si="8"/>
        <v>0</v>
      </c>
      <c r="T289" s="1">
        <v>25009</v>
      </c>
      <c r="U289" s="5">
        <f t="shared" si="9"/>
        <v>0</v>
      </c>
    </row>
    <row r="290" spans="1:21">
      <c r="A290" s="1" t="s">
        <v>320</v>
      </c>
      <c r="B290" s="1" t="s">
        <v>326</v>
      </c>
      <c r="C290" s="1" t="s">
        <v>24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4">
        <v>0</v>
      </c>
      <c r="N290" s="1">
        <v>0</v>
      </c>
      <c r="O290" s="1">
        <v>0</v>
      </c>
      <c r="P290" s="1">
        <v>0</v>
      </c>
      <c r="Q290" s="1">
        <v>0</v>
      </c>
      <c r="R290" s="1">
        <v>1</v>
      </c>
      <c r="S290" s="1">
        <f t="shared" si="8"/>
        <v>2</v>
      </c>
      <c r="T290" s="1">
        <v>33746</v>
      </c>
      <c r="U290" s="5">
        <f t="shared" si="9"/>
        <v>5.92662834113673e-5</v>
      </c>
    </row>
    <row r="291" spans="1:21">
      <c r="A291" s="1" t="s">
        <v>320</v>
      </c>
      <c r="B291" s="1" t="s">
        <v>327</v>
      </c>
      <c r="C291" s="1" t="s">
        <v>27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4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f t="shared" si="8"/>
        <v>0</v>
      </c>
      <c r="T291" s="1">
        <v>39493</v>
      </c>
      <c r="U291" s="5">
        <f t="shared" si="9"/>
        <v>0</v>
      </c>
    </row>
    <row r="292" spans="1:21">
      <c r="A292" s="1" t="s">
        <v>320</v>
      </c>
      <c r="B292" s="1" t="s">
        <v>328</v>
      </c>
      <c r="C292" s="1" t="s">
        <v>30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2</v>
      </c>
      <c r="J292" s="1">
        <v>0</v>
      </c>
      <c r="K292" s="1">
        <v>0</v>
      </c>
      <c r="L292" s="1">
        <v>0</v>
      </c>
      <c r="M292" s="4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f t="shared" si="8"/>
        <v>4</v>
      </c>
      <c r="T292" s="1">
        <v>44980</v>
      </c>
      <c r="U292" s="5">
        <f t="shared" si="9"/>
        <v>8.89284126278346e-5</v>
      </c>
    </row>
    <row r="293" spans="1:21">
      <c r="A293" s="1" t="s">
        <v>320</v>
      </c>
      <c r="B293" s="1" t="s">
        <v>329</v>
      </c>
      <c r="C293" s="1" t="s">
        <v>33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4</v>
      </c>
      <c r="L293" s="1">
        <v>0</v>
      </c>
      <c r="M293" s="4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f t="shared" si="8"/>
        <v>8</v>
      </c>
      <c r="T293" s="1">
        <v>54062</v>
      </c>
      <c r="U293" s="5">
        <f t="shared" si="9"/>
        <v>0.000147978247197662</v>
      </c>
    </row>
    <row r="294" spans="1:21">
      <c r="A294" s="1" t="s">
        <v>320</v>
      </c>
      <c r="B294" s="1" t="s">
        <v>330</v>
      </c>
      <c r="C294" s="1" t="s">
        <v>36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</v>
      </c>
      <c r="J294" s="1">
        <v>1</v>
      </c>
      <c r="K294" s="1">
        <v>1</v>
      </c>
      <c r="L294" s="1">
        <v>0</v>
      </c>
      <c r="M294" s="4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f t="shared" si="8"/>
        <v>6</v>
      </c>
      <c r="T294" s="1">
        <v>50523</v>
      </c>
      <c r="U294" s="5">
        <f t="shared" si="9"/>
        <v>0.000118757793480197</v>
      </c>
    </row>
    <row r="295" spans="1:21">
      <c r="A295" s="1" t="s">
        <v>331</v>
      </c>
      <c r="B295" s="1" t="s">
        <v>41</v>
      </c>
      <c r="C295" s="1" t="s">
        <v>41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4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f t="shared" si="8"/>
        <v>0</v>
      </c>
      <c r="T295" s="1">
        <v>125343</v>
      </c>
      <c r="U295" s="5">
        <f t="shared" si="9"/>
        <v>0</v>
      </c>
    </row>
    <row r="296" spans="1:21">
      <c r="A296" s="1" t="s">
        <v>331</v>
      </c>
      <c r="B296" s="1" t="s">
        <v>43</v>
      </c>
      <c r="C296" s="1" t="s">
        <v>43</v>
      </c>
      <c r="D296" s="1">
        <v>0</v>
      </c>
      <c r="E296" s="1">
        <v>0</v>
      </c>
      <c r="F296" s="1">
        <v>0</v>
      </c>
      <c r="G296" s="1">
        <v>0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4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f t="shared" si="8"/>
        <v>2</v>
      </c>
      <c r="T296" s="1">
        <v>66797</v>
      </c>
      <c r="U296" s="5">
        <f t="shared" si="9"/>
        <v>2.99414644370256e-5</v>
      </c>
    </row>
    <row r="297" spans="1:21">
      <c r="A297" s="1" t="s">
        <v>331</v>
      </c>
      <c r="B297" s="1" t="s">
        <v>36</v>
      </c>
      <c r="C297" s="1" t="s">
        <v>36</v>
      </c>
      <c r="D297" s="1">
        <v>4</v>
      </c>
      <c r="E297" s="1">
        <v>1</v>
      </c>
      <c r="F297" s="1">
        <v>0</v>
      </c>
      <c r="G297" s="1">
        <v>2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4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f t="shared" si="8"/>
        <v>12</v>
      </c>
      <c r="T297" s="1">
        <v>115090</v>
      </c>
      <c r="U297" s="5">
        <f t="shared" si="9"/>
        <v>0.000104266226431488</v>
      </c>
    </row>
    <row r="298" spans="1:21">
      <c r="A298" s="1" t="s">
        <v>331</v>
      </c>
      <c r="B298" s="1" t="s">
        <v>332</v>
      </c>
      <c r="C298" s="1" t="s">
        <v>45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4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f t="shared" si="8"/>
        <v>0</v>
      </c>
      <c r="T298" s="1">
        <v>65729</v>
      </c>
      <c r="U298" s="5">
        <f t="shared" si="9"/>
        <v>0</v>
      </c>
    </row>
    <row r="299" spans="1:21">
      <c r="A299" s="1" t="s">
        <v>331</v>
      </c>
      <c r="B299" s="1" t="s">
        <v>333</v>
      </c>
      <c r="C299" s="1" t="s">
        <v>47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4">
        <v>1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f t="shared" si="8"/>
        <v>2</v>
      </c>
      <c r="T299" s="1">
        <v>57448</v>
      </c>
      <c r="U299" s="5">
        <f t="shared" si="9"/>
        <v>3.48140927447431e-5</v>
      </c>
    </row>
    <row r="300" spans="1:21">
      <c r="A300" s="1" t="s">
        <v>331</v>
      </c>
      <c r="B300" s="1" t="s">
        <v>334</v>
      </c>
      <c r="C300" s="1" t="s">
        <v>22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v>0</v>
      </c>
      <c r="L300" s="1">
        <v>0</v>
      </c>
      <c r="M300" s="4">
        <v>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f t="shared" si="8"/>
        <v>4</v>
      </c>
      <c r="T300" s="1">
        <v>61763</v>
      </c>
      <c r="U300" s="5">
        <f t="shared" si="9"/>
        <v>6.47636934734388e-5</v>
      </c>
    </row>
    <row r="301" spans="1:21">
      <c r="A301" s="1" t="s">
        <v>331</v>
      </c>
      <c r="B301" s="1" t="s">
        <v>335</v>
      </c>
      <c r="C301" s="1" t="s">
        <v>24</v>
      </c>
      <c r="D301" s="1">
        <v>1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4">
        <v>1</v>
      </c>
      <c r="N301" s="1">
        <v>0</v>
      </c>
      <c r="O301" s="1">
        <v>0</v>
      </c>
      <c r="P301" s="1">
        <v>0</v>
      </c>
      <c r="Q301" s="1">
        <v>0</v>
      </c>
      <c r="R301" s="1">
        <v>3</v>
      </c>
      <c r="S301" s="1">
        <f t="shared" si="8"/>
        <v>11</v>
      </c>
      <c r="T301" s="1">
        <v>70337</v>
      </c>
      <c r="U301" s="5">
        <f t="shared" si="9"/>
        <v>0.00015638995123477</v>
      </c>
    </row>
    <row r="302" spans="1:21">
      <c r="A302" s="1" t="s">
        <v>331</v>
      </c>
      <c r="B302" s="1" t="s">
        <v>336</v>
      </c>
      <c r="C302" s="1" t="s">
        <v>27</v>
      </c>
      <c r="D302" s="1">
        <v>0</v>
      </c>
      <c r="E302" s="1">
        <v>0</v>
      </c>
      <c r="F302" s="1">
        <v>0</v>
      </c>
      <c r="G302" s="1">
        <v>1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4">
        <v>1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f t="shared" si="8"/>
        <v>3</v>
      </c>
      <c r="T302" s="1">
        <v>73551</v>
      </c>
      <c r="U302" s="5">
        <f t="shared" si="9"/>
        <v>4.07880246359669e-5</v>
      </c>
    </row>
    <row r="303" spans="1:21">
      <c r="A303" s="1" t="s">
        <v>331</v>
      </c>
      <c r="B303" s="1" t="s">
        <v>337</v>
      </c>
      <c r="C303" s="1" t="s">
        <v>30</v>
      </c>
      <c r="D303" s="1">
        <v>6</v>
      </c>
      <c r="E303" s="1">
        <v>1</v>
      </c>
      <c r="F303" s="1">
        <v>0</v>
      </c>
      <c r="G303" s="1">
        <v>1</v>
      </c>
      <c r="H303" s="1">
        <v>0</v>
      </c>
      <c r="I303" s="1">
        <v>1</v>
      </c>
      <c r="J303" s="1">
        <v>0</v>
      </c>
      <c r="K303" s="1">
        <v>0</v>
      </c>
      <c r="L303" s="1">
        <v>0</v>
      </c>
      <c r="M303" s="4">
        <v>1</v>
      </c>
      <c r="N303" s="1">
        <v>0</v>
      </c>
      <c r="O303" s="1">
        <v>0</v>
      </c>
      <c r="P303" s="1">
        <v>0</v>
      </c>
      <c r="Q303" s="1">
        <v>0</v>
      </c>
      <c r="R303" s="1">
        <v>1</v>
      </c>
      <c r="S303" s="1">
        <f t="shared" si="8"/>
        <v>21</v>
      </c>
      <c r="T303" s="1">
        <v>78422</v>
      </c>
      <c r="U303" s="5">
        <f t="shared" si="9"/>
        <v>0.000267781999948994</v>
      </c>
    </row>
    <row r="304" spans="1:21">
      <c r="A304" s="1" t="s">
        <v>331</v>
      </c>
      <c r="B304" s="1" t="s">
        <v>338</v>
      </c>
      <c r="C304" s="1" t="s">
        <v>33</v>
      </c>
      <c r="D304" s="1">
        <v>3</v>
      </c>
      <c r="E304" s="1">
        <v>0</v>
      </c>
      <c r="F304" s="1">
        <v>0</v>
      </c>
      <c r="G304" s="1">
        <v>1</v>
      </c>
      <c r="H304" s="1">
        <v>1</v>
      </c>
      <c r="I304" s="1">
        <v>1</v>
      </c>
      <c r="J304" s="1">
        <v>0</v>
      </c>
      <c r="K304" s="1">
        <v>0</v>
      </c>
      <c r="L304" s="1">
        <v>0</v>
      </c>
      <c r="M304" s="4">
        <v>1</v>
      </c>
      <c r="N304" s="1">
        <v>0</v>
      </c>
      <c r="O304" s="1">
        <v>0</v>
      </c>
      <c r="P304" s="1">
        <v>0</v>
      </c>
      <c r="Q304" s="1">
        <v>0</v>
      </c>
      <c r="R304" s="1">
        <v>3</v>
      </c>
      <c r="S304" s="1">
        <f t="shared" si="8"/>
        <v>19</v>
      </c>
      <c r="T304" s="1">
        <v>81444</v>
      </c>
      <c r="U304" s="5">
        <f t="shared" si="9"/>
        <v>0.000233289131182162</v>
      </c>
    </row>
    <row r="305" spans="1:21">
      <c r="A305" s="1" t="s">
        <v>339</v>
      </c>
      <c r="B305" s="1" t="s">
        <v>96</v>
      </c>
      <c r="C305" s="1" t="s">
        <v>43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4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f t="shared" si="8"/>
        <v>0</v>
      </c>
      <c r="T305" s="1">
        <v>25751</v>
      </c>
      <c r="U305" s="5">
        <f t="shared" si="9"/>
        <v>0</v>
      </c>
    </row>
    <row r="306" spans="1:21">
      <c r="A306" s="1" t="s">
        <v>339</v>
      </c>
      <c r="B306" s="1" t="s">
        <v>340</v>
      </c>
      <c r="C306" s="1" t="s">
        <v>45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4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f t="shared" si="8"/>
        <v>0</v>
      </c>
      <c r="T306" s="1">
        <v>28111</v>
      </c>
      <c r="U306" s="5">
        <f t="shared" si="9"/>
        <v>0</v>
      </c>
    </row>
    <row r="307" spans="1:21">
      <c r="A307" s="1" t="s">
        <v>339</v>
      </c>
      <c r="B307" s="1" t="s">
        <v>98</v>
      </c>
      <c r="C307" s="1" t="s">
        <v>47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4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f t="shared" si="8"/>
        <v>0</v>
      </c>
      <c r="T307" s="1">
        <v>22420</v>
      </c>
      <c r="U307" s="5">
        <f t="shared" si="9"/>
        <v>0</v>
      </c>
    </row>
    <row r="308" spans="1:21">
      <c r="A308" s="1" t="s">
        <v>339</v>
      </c>
      <c r="B308" s="1" t="s">
        <v>99</v>
      </c>
      <c r="C308" s="1" t="s">
        <v>22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4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</v>
      </c>
      <c r="S308" s="1">
        <f t="shared" si="8"/>
        <v>2</v>
      </c>
      <c r="T308" s="1">
        <v>20880</v>
      </c>
      <c r="U308" s="5">
        <f t="shared" si="9"/>
        <v>9.57854406130268e-5</v>
      </c>
    </row>
    <row r="309" spans="1:21">
      <c r="A309" s="1" t="s">
        <v>339</v>
      </c>
      <c r="B309" s="1" t="s">
        <v>100</v>
      </c>
      <c r="C309" s="1" t="s">
        <v>24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4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</v>
      </c>
      <c r="S309" s="1">
        <f t="shared" si="8"/>
        <v>2</v>
      </c>
      <c r="T309" s="1">
        <v>21167</v>
      </c>
      <c r="U309" s="5">
        <f t="shared" si="9"/>
        <v>9.44867009968347e-5</v>
      </c>
    </row>
    <row r="310" spans="1:21">
      <c r="A310" s="1" t="s">
        <v>339</v>
      </c>
      <c r="B310" s="1" t="s">
        <v>50</v>
      </c>
      <c r="C310" s="1" t="s">
        <v>27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4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</v>
      </c>
      <c r="S310" s="1">
        <f t="shared" si="8"/>
        <v>2</v>
      </c>
      <c r="T310" s="1">
        <v>22477</v>
      </c>
      <c r="U310" s="5">
        <f t="shared" si="9"/>
        <v>8.89798460648663e-5</v>
      </c>
    </row>
    <row r="311" spans="1:21">
      <c r="A311" s="1" t="s">
        <v>339</v>
      </c>
      <c r="B311" s="1" t="s">
        <v>101</v>
      </c>
      <c r="C311" s="1" t="s">
        <v>30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4">
        <v>0</v>
      </c>
      <c r="N311" s="1">
        <v>0</v>
      </c>
      <c r="O311" s="1">
        <v>0</v>
      </c>
      <c r="P311" s="1">
        <v>0</v>
      </c>
      <c r="Q311" s="1">
        <v>0</v>
      </c>
      <c r="R311" s="1">
        <v>2</v>
      </c>
      <c r="S311" s="1">
        <f t="shared" si="8"/>
        <v>4</v>
      </c>
      <c r="T311" s="1">
        <v>19902</v>
      </c>
      <c r="U311" s="5">
        <f t="shared" si="9"/>
        <v>0.000200984825645664</v>
      </c>
    </row>
    <row r="312" spans="1:21">
      <c r="A312" s="1" t="s">
        <v>339</v>
      </c>
      <c r="B312" s="1" t="s">
        <v>102</v>
      </c>
      <c r="C312" s="1" t="s">
        <v>33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4">
        <v>0</v>
      </c>
      <c r="N312" s="1">
        <v>0</v>
      </c>
      <c r="O312" s="1">
        <v>0</v>
      </c>
      <c r="P312" s="1">
        <v>0</v>
      </c>
      <c r="Q312" s="1">
        <v>0</v>
      </c>
      <c r="R312" s="1">
        <v>2</v>
      </c>
      <c r="S312" s="1">
        <f t="shared" si="8"/>
        <v>4</v>
      </c>
      <c r="T312" s="1">
        <v>35030</v>
      </c>
      <c r="U312" s="5">
        <f t="shared" si="9"/>
        <v>0.000114187838995147</v>
      </c>
    </row>
    <row r="313" spans="1:21">
      <c r="A313" s="1" t="s">
        <v>339</v>
      </c>
      <c r="B313" s="1" t="s">
        <v>51</v>
      </c>
      <c r="C313" s="1" t="s">
        <v>36</v>
      </c>
      <c r="D313" s="1">
        <v>2</v>
      </c>
      <c r="E313" s="1">
        <v>0</v>
      </c>
      <c r="F313" s="1">
        <v>0</v>
      </c>
      <c r="G313" s="1">
        <v>0</v>
      </c>
      <c r="H313" s="1">
        <v>0</v>
      </c>
      <c r="I313" s="1">
        <v>1</v>
      </c>
      <c r="J313" s="1">
        <v>0</v>
      </c>
      <c r="K313" s="1">
        <v>0</v>
      </c>
      <c r="L313" s="1">
        <v>1</v>
      </c>
      <c r="M313" s="4">
        <v>0</v>
      </c>
      <c r="N313" s="1">
        <v>0</v>
      </c>
      <c r="O313" s="1">
        <v>0</v>
      </c>
      <c r="P313" s="1">
        <v>0</v>
      </c>
      <c r="Q313" s="1">
        <v>0</v>
      </c>
      <c r="R313" s="1">
        <v>3</v>
      </c>
      <c r="S313" s="1">
        <f t="shared" si="8"/>
        <v>14</v>
      </c>
      <c r="T313" s="1">
        <v>37725</v>
      </c>
      <c r="U313" s="5">
        <f t="shared" si="9"/>
        <v>0.000371106693174288</v>
      </c>
    </row>
    <row r="314" spans="1:21">
      <c r="A314" s="1" t="s">
        <v>341</v>
      </c>
      <c r="B314" s="1" t="s">
        <v>342</v>
      </c>
      <c r="C314" s="1" t="s">
        <v>24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4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f t="shared" si="8"/>
        <v>0</v>
      </c>
      <c r="T314" s="1">
        <v>21294</v>
      </c>
      <c r="U314" s="5">
        <f t="shared" si="9"/>
        <v>0</v>
      </c>
    </row>
    <row r="315" spans="1:21">
      <c r="A315" s="1" t="s">
        <v>341</v>
      </c>
      <c r="B315" s="1" t="s">
        <v>343</v>
      </c>
      <c r="C315" s="1" t="s">
        <v>24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4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f t="shared" si="8"/>
        <v>0</v>
      </c>
      <c r="T315" s="1">
        <v>4662</v>
      </c>
      <c r="U315" s="5">
        <f t="shared" si="9"/>
        <v>0</v>
      </c>
    </row>
    <row r="316" spans="1:21">
      <c r="A316" s="1" t="s">
        <v>341</v>
      </c>
      <c r="B316" s="1" t="s">
        <v>344</v>
      </c>
      <c r="C316" s="1" t="s">
        <v>24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4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f t="shared" si="8"/>
        <v>0</v>
      </c>
      <c r="T316" s="1">
        <v>6116</v>
      </c>
      <c r="U316" s="5">
        <f t="shared" si="9"/>
        <v>0</v>
      </c>
    </row>
    <row r="317" spans="1:21">
      <c r="A317" s="1" t="s">
        <v>341</v>
      </c>
      <c r="B317" s="1" t="s">
        <v>345</v>
      </c>
      <c r="C317" s="1" t="s">
        <v>27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2</v>
      </c>
      <c r="J317" s="1">
        <v>0</v>
      </c>
      <c r="K317" s="1">
        <v>0</v>
      </c>
      <c r="L317" s="1">
        <v>0</v>
      </c>
      <c r="M317" s="4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f t="shared" si="8"/>
        <v>4</v>
      </c>
      <c r="T317" s="1">
        <v>14192</v>
      </c>
      <c r="U317" s="5">
        <f t="shared" si="9"/>
        <v>0.00028184892897407</v>
      </c>
    </row>
    <row r="318" spans="1:21">
      <c r="A318" s="1" t="s">
        <v>341</v>
      </c>
      <c r="B318" s="1" t="s">
        <v>346</v>
      </c>
      <c r="C318" s="1" t="s">
        <v>27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4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f t="shared" si="8"/>
        <v>0</v>
      </c>
      <c r="T318" s="1">
        <v>4833</v>
      </c>
      <c r="U318" s="5">
        <f t="shared" si="9"/>
        <v>0</v>
      </c>
    </row>
    <row r="319" spans="1:21">
      <c r="A319" s="1" t="s">
        <v>341</v>
      </c>
      <c r="B319" s="1" t="s">
        <v>347</v>
      </c>
      <c r="C319" s="1" t="s">
        <v>27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4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f t="shared" si="8"/>
        <v>0</v>
      </c>
      <c r="T319" s="1">
        <v>18633</v>
      </c>
      <c r="U319" s="5">
        <f t="shared" si="9"/>
        <v>0</v>
      </c>
    </row>
    <row r="320" spans="1:21">
      <c r="A320" s="1" t="s">
        <v>341</v>
      </c>
      <c r="B320" s="1" t="s">
        <v>348</v>
      </c>
      <c r="C320" s="1" t="s">
        <v>27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4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f t="shared" si="8"/>
        <v>0</v>
      </c>
      <c r="T320" s="1">
        <v>6723</v>
      </c>
      <c r="U320" s="5">
        <f t="shared" si="9"/>
        <v>0</v>
      </c>
    </row>
    <row r="321" spans="1:21">
      <c r="A321" s="1" t="s">
        <v>341</v>
      </c>
      <c r="B321" s="1" t="s">
        <v>349</v>
      </c>
      <c r="C321" s="1" t="s">
        <v>30</v>
      </c>
      <c r="D321" s="1">
        <v>2</v>
      </c>
      <c r="E321" s="1">
        <v>0</v>
      </c>
      <c r="F321" s="1">
        <v>0</v>
      </c>
      <c r="G321" s="1">
        <v>1</v>
      </c>
      <c r="H321" s="1">
        <v>0</v>
      </c>
      <c r="I321" s="1">
        <v>2</v>
      </c>
      <c r="J321" s="1">
        <v>0</v>
      </c>
      <c r="K321" s="1">
        <v>0</v>
      </c>
      <c r="L321" s="1">
        <v>0</v>
      </c>
      <c r="M321" s="4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f t="shared" si="8"/>
        <v>9</v>
      </c>
      <c r="T321" s="1">
        <v>15529</v>
      </c>
      <c r="U321" s="5">
        <f t="shared" si="9"/>
        <v>0.000579560821688454</v>
      </c>
    </row>
    <row r="322" spans="1:21">
      <c r="A322" s="1" t="s">
        <v>341</v>
      </c>
      <c r="B322" s="1" t="s">
        <v>350</v>
      </c>
      <c r="C322" s="1" t="s">
        <v>30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4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f t="shared" ref="S322:S385" si="10">D322*2+E322*2+F322*2+G322*1+H322*2+I322*2+J322*2+K322*2+L322*2+M322*2+N322*2+O322*2+P322*2+Q322*2+R322*2</f>
        <v>0</v>
      </c>
      <c r="T322" s="1">
        <v>5238</v>
      </c>
      <c r="U322" s="5">
        <f t="shared" ref="U322:U385" si="11">S322/T322</f>
        <v>0</v>
      </c>
    </row>
    <row r="323" spans="1:21">
      <c r="A323" s="1" t="s">
        <v>341</v>
      </c>
      <c r="B323" s="1" t="s">
        <v>351</v>
      </c>
      <c r="C323" s="1" t="s">
        <v>30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4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f t="shared" si="10"/>
        <v>0</v>
      </c>
      <c r="T323" s="1">
        <v>18939</v>
      </c>
      <c r="U323" s="5">
        <f t="shared" si="11"/>
        <v>0</v>
      </c>
    </row>
    <row r="324" spans="1:21">
      <c r="A324" s="1" t="s">
        <v>341</v>
      </c>
      <c r="B324" s="1" t="s">
        <v>352</v>
      </c>
      <c r="C324" s="1" t="s">
        <v>30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4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f t="shared" si="10"/>
        <v>0</v>
      </c>
      <c r="T324" s="1">
        <v>7008</v>
      </c>
      <c r="U324" s="5">
        <f t="shared" si="11"/>
        <v>0</v>
      </c>
    </row>
    <row r="325" spans="1:21">
      <c r="A325" s="1" t="s">
        <v>341</v>
      </c>
      <c r="B325" s="1" t="s">
        <v>353</v>
      </c>
      <c r="C325" s="1" t="s">
        <v>33</v>
      </c>
      <c r="D325" s="1">
        <v>1</v>
      </c>
      <c r="E325" s="1">
        <v>0</v>
      </c>
      <c r="F325" s="1">
        <v>0</v>
      </c>
      <c r="G325" s="1">
        <v>1</v>
      </c>
      <c r="H325" s="1">
        <v>0</v>
      </c>
      <c r="I325" s="1">
        <v>2</v>
      </c>
      <c r="J325" s="1">
        <v>0</v>
      </c>
      <c r="K325" s="1">
        <v>0</v>
      </c>
      <c r="L325" s="1">
        <v>0</v>
      </c>
      <c r="M325" s="4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f t="shared" si="10"/>
        <v>7</v>
      </c>
      <c r="T325" s="1">
        <v>16817</v>
      </c>
      <c r="U325" s="5">
        <f t="shared" si="11"/>
        <v>0.000416245465897604</v>
      </c>
    </row>
    <row r="326" spans="1:21">
      <c r="A326" s="1" t="s">
        <v>341</v>
      </c>
      <c r="B326" s="1" t="s">
        <v>354</v>
      </c>
      <c r="C326" s="1" t="s">
        <v>33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4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f t="shared" si="10"/>
        <v>0</v>
      </c>
      <c r="T326" s="1">
        <v>6672</v>
      </c>
      <c r="U326" s="5">
        <f t="shared" si="11"/>
        <v>0</v>
      </c>
    </row>
    <row r="327" spans="1:21">
      <c r="A327" s="1" t="s">
        <v>341</v>
      </c>
      <c r="B327" s="1" t="s">
        <v>355</v>
      </c>
      <c r="C327" s="1" t="s">
        <v>33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4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f t="shared" si="10"/>
        <v>0</v>
      </c>
      <c r="T327" s="1">
        <v>22259</v>
      </c>
      <c r="U327" s="5">
        <f t="shared" si="11"/>
        <v>0</v>
      </c>
    </row>
    <row r="328" spans="1:21">
      <c r="A328" s="1" t="s">
        <v>341</v>
      </c>
      <c r="B328" s="1" t="s">
        <v>356</v>
      </c>
      <c r="C328" s="1" t="s">
        <v>33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4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f t="shared" si="10"/>
        <v>0</v>
      </c>
      <c r="T328" s="1">
        <v>7138</v>
      </c>
      <c r="U328" s="5">
        <f t="shared" si="11"/>
        <v>0</v>
      </c>
    </row>
    <row r="329" spans="1:21">
      <c r="A329" s="1" t="s">
        <v>341</v>
      </c>
      <c r="B329" s="1" t="s">
        <v>357</v>
      </c>
      <c r="C329" s="1" t="s">
        <v>36</v>
      </c>
      <c r="D329" s="1">
        <v>0</v>
      </c>
      <c r="E329" s="1">
        <v>0</v>
      </c>
      <c r="F329" s="1">
        <v>0</v>
      </c>
      <c r="G329" s="1">
        <v>1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4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f t="shared" si="10"/>
        <v>3</v>
      </c>
      <c r="T329" s="1">
        <v>5117</v>
      </c>
      <c r="U329" s="5">
        <f t="shared" si="11"/>
        <v>0.000586281024037522</v>
      </c>
    </row>
    <row r="330" spans="1:21">
      <c r="A330" s="1" t="s">
        <v>341</v>
      </c>
      <c r="B330" s="1" t="s">
        <v>358</v>
      </c>
      <c r="C330" s="1" t="s">
        <v>36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4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f t="shared" si="10"/>
        <v>0</v>
      </c>
      <c r="T330" s="1">
        <v>6915</v>
      </c>
      <c r="U330" s="5">
        <f t="shared" si="11"/>
        <v>0</v>
      </c>
    </row>
    <row r="331" spans="1:21">
      <c r="A331" s="1" t="s">
        <v>341</v>
      </c>
      <c r="B331" s="1" t="s">
        <v>359</v>
      </c>
      <c r="C331" s="1" t="s">
        <v>36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4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f t="shared" si="10"/>
        <v>0</v>
      </c>
      <c r="T331" s="1">
        <v>24384</v>
      </c>
      <c r="U331" s="5">
        <f t="shared" si="11"/>
        <v>0</v>
      </c>
    </row>
    <row r="332" spans="1:21">
      <c r="A332" s="1" t="s">
        <v>341</v>
      </c>
      <c r="B332" s="1" t="s">
        <v>360</v>
      </c>
      <c r="C332" s="1" t="s">
        <v>36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4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f t="shared" si="10"/>
        <v>0</v>
      </c>
      <c r="T332" s="1">
        <v>7473</v>
      </c>
      <c r="U332" s="5">
        <f t="shared" si="11"/>
        <v>0</v>
      </c>
    </row>
    <row r="333" spans="1:21">
      <c r="A333" s="1" t="s">
        <v>341</v>
      </c>
      <c r="B333" s="1" t="s">
        <v>361</v>
      </c>
      <c r="C333" s="1" t="s">
        <v>36</v>
      </c>
      <c r="D333" s="1">
        <v>1</v>
      </c>
      <c r="E333" s="1">
        <v>0</v>
      </c>
      <c r="F333" s="1">
        <v>0</v>
      </c>
      <c r="G333" s="1">
        <v>1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4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f t="shared" si="10"/>
        <v>3</v>
      </c>
      <c r="T333" s="1">
        <v>13552</v>
      </c>
      <c r="U333" s="5">
        <f t="shared" si="11"/>
        <v>0.000221369539551358</v>
      </c>
    </row>
    <row r="334" spans="1:21">
      <c r="A334" s="1" t="s">
        <v>362</v>
      </c>
      <c r="B334" s="1" t="s">
        <v>363</v>
      </c>
      <c r="C334" s="1" t="s">
        <v>41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4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f t="shared" si="10"/>
        <v>0</v>
      </c>
      <c r="T334" s="1">
        <v>16839</v>
      </c>
      <c r="U334" s="5">
        <f t="shared" si="11"/>
        <v>0</v>
      </c>
    </row>
    <row r="335" spans="1:21">
      <c r="A335" s="1" t="s">
        <v>362</v>
      </c>
      <c r="B335" s="1" t="s">
        <v>364</v>
      </c>
      <c r="C335" s="1" t="s">
        <v>43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4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f t="shared" si="10"/>
        <v>0</v>
      </c>
      <c r="T335" s="1">
        <v>17979</v>
      </c>
      <c r="U335" s="5">
        <f t="shared" si="11"/>
        <v>0</v>
      </c>
    </row>
    <row r="336" spans="1:21">
      <c r="A336" s="1" t="s">
        <v>362</v>
      </c>
      <c r="B336" s="1" t="s">
        <v>365</v>
      </c>
      <c r="C336" s="1" t="s">
        <v>45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4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f t="shared" si="10"/>
        <v>0</v>
      </c>
      <c r="T336" s="1">
        <v>18560</v>
      </c>
      <c r="U336" s="5">
        <f t="shared" si="11"/>
        <v>0</v>
      </c>
    </row>
    <row r="337" spans="1:21">
      <c r="A337" s="1" t="s">
        <v>362</v>
      </c>
      <c r="B337" s="1" t="s">
        <v>366</v>
      </c>
      <c r="C337" s="1" t="s">
        <v>47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1">
        <v>0</v>
      </c>
      <c r="J337" s="1">
        <v>0</v>
      </c>
      <c r="K337" s="1">
        <v>0</v>
      </c>
      <c r="L337" s="1">
        <v>0</v>
      </c>
      <c r="M337" s="4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f t="shared" si="10"/>
        <v>2</v>
      </c>
      <c r="T337" s="1">
        <v>19345</v>
      </c>
      <c r="U337" s="5">
        <f t="shared" si="11"/>
        <v>0.000103385887826312</v>
      </c>
    </row>
    <row r="338" spans="1:21">
      <c r="A338" s="1" t="s">
        <v>362</v>
      </c>
      <c r="B338" s="1" t="s">
        <v>367</v>
      </c>
      <c r="C338" s="1" t="s">
        <v>22</v>
      </c>
      <c r="D338" s="1">
        <v>1</v>
      </c>
      <c r="E338" s="1">
        <v>0</v>
      </c>
      <c r="F338" s="1">
        <v>0</v>
      </c>
      <c r="G338" s="1">
        <v>0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4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f t="shared" si="10"/>
        <v>4</v>
      </c>
      <c r="T338" s="1">
        <v>19131</v>
      </c>
      <c r="U338" s="5">
        <f t="shared" si="11"/>
        <v>0.000209084731587476</v>
      </c>
    </row>
    <row r="339" spans="1:21">
      <c r="A339" s="1" t="s">
        <v>362</v>
      </c>
      <c r="B339" s="1" t="s">
        <v>368</v>
      </c>
      <c r="C339" s="1" t="s">
        <v>24</v>
      </c>
      <c r="D339" s="1">
        <v>1</v>
      </c>
      <c r="E339" s="1">
        <v>0</v>
      </c>
      <c r="F339" s="1">
        <v>0</v>
      </c>
      <c r="G339" s="1">
        <v>0</v>
      </c>
      <c r="H339" s="1">
        <v>1</v>
      </c>
      <c r="I339" s="1">
        <v>0</v>
      </c>
      <c r="J339" s="1">
        <v>0</v>
      </c>
      <c r="K339" s="1">
        <v>0</v>
      </c>
      <c r="L339" s="1">
        <v>0</v>
      </c>
      <c r="M339" s="4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f t="shared" si="10"/>
        <v>4</v>
      </c>
      <c r="T339" s="1">
        <v>19817</v>
      </c>
      <c r="U339" s="5">
        <f t="shared" si="11"/>
        <v>0.000201846899127012</v>
      </c>
    </row>
    <row r="340" spans="1:21">
      <c r="A340" s="1" t="s">
        <v>362</v>
      </c>
      <c r="B340" s="1" t="s">
        <v>369</v>
      </c>
      <c r="C340" s="1" t="s">
        <v>27</v>
      </c>
      <c r="D340" s="1">
        <v>2</v>
      </c>
      <c r="E340" s="1">
        <v>0</v>
      </c>
      <c r="F340" s="1">
        <v>0</v>
      </c>
      <c r="G340" s="1">
        <v>0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4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f t="shared" si="10"/>
        <v>6</v>
      </c>
      <c r="T340" s="1">
        <v>22964</v>
      </c>
      <c r="U340" s="5">
        <f t="shared" si="11"/>
        <v>0.000261278522905417</v>
      </c>
    </row>
    <row r="341" spans="1:21">
      <c r="A341" s="1" t="s">
        <v>362</v>
      </c>
      <c r="B341" s="1" t="s">
        <v>370</v>
      </c>
      <c r="C341" s="1" t="s">
        <v>30</v>
      </c>
      <c r="D341" s="1">
        <v>2</v>
      </c>
      <c r="E341" s="1">
        <v>3</v>
      </c>
      <c r="F341" s="1">
        <v>0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4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f t="shared" si="10"/>
        <v>13</v>
      </c>
      <c r="T341" s="1">
        <v>27217</v>
      </c>
      <c r="U341" s="5">
        <f t="shared" si="11"/>
        <v>0.000477642649814454</v>
      </c>
    </row>
    <row r="342" spans="1:21">
      <c r="A342" s="1" t="s">
        <v>362</v>
      </c>
      <c r="B342" s="1" t="s">
        <v>371</v>
      </c>
      <c r="C342" s="1" t="s">
        <v>33</v>
      </c>
      <c r="D342" s="1">
        <v>1</v>
      </c>
      <c r="E342" s="1">
        <v>0</v>
      </c>
      <c r="F342" s="1">
        <v>0</v>
      </c>
      <c r="G342" s="1">
        <v>0</v>
      </c>
      <c r="H342" s="1">
        <v>1</v>
      </c>
      <c r="I342" s="1">
        <v>0</v>
      </c>
      <c r="J342" s="1">
        <v>0</v>
      </c>
      <c r="K342" s="1">
        <v>1</v>
      </c>
      <c r="L342" s="1">
        <v>0</v>
      </c>
      <c r="M342" s="4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f t="shared" si="10"/>
        <v>6</v>
      </c>
      <c r="T342" s="1">
        <v>29503</v>
      </c>
      <c r="U342" s="5">
        <f t="shared" si="11"/>
        <v>0.000203369148900112</v>
      </c>
    </row>
    <row r="343" spans="1:21">
      <c r="A343" s="1" t="s">
        <v>362</v>
      </c>
      <c r="B343" s="1" t="s">
        <v>372</v>
      </c>
      <c r="C343" s="1" t="s">
        <v>36</v>
      </c>
      <c r="D343" s="1">
        <v>1</v>
      </c>
      <c r="E343" s="1">
        <v>1</v>
      </c>
      <c r="F343" s="1">
        <v>0</v>
      </c>
      <c r="G343" s="1">
        <v>0</v>
      </c>
      <c r="H343" s="1">
        <v>1</v>
      </c>
      <c r="I343" s="1">
        <v>0</v>
      </c>
      <c r="J343" s="1">
        <v>1</v>
      </c>
      <c r="K343" s="1">
        <v>1</v>
      </c>
      <c r="L343" s="1">
        <v>0</v>
      </c>
      <c r="M343" s="4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f t="shared" si="10"/>
        <v>10</v>
      </c>
      <c r="T343" s="1">
        <v>32452</v>
      </c>
      <c r="U343" s="5">
        <f t="shared" si="11"/>
        <v>0.000308147417724639</v>
      </c>
    </row>
    <row r="344" spans="1:21">
      <c r="A344" s="1" t="s">
        <v>373</v>
      </c>
      <c r="B344" s="1" t="s">
        <v>45</v>
      </c>
      <c r="C344" s="1" t="s">
        <v>45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4">
        <v>0</v>
      </c>
      <c r="N344" s="1">
        <v>2</v>
      </c>
      <c r="O344" s="1">
        <v>0</v>
      </c>
      <c r="P344" s="1">
        <v>0</v>
      </c>
      <c r="Q344" s="1">
        <v>0</v>
      </c>
      <c r="R344" s="1">
        <v>0</v>
      </c>
      <c r="S344" s="1">
        <f t="shared" si="10"/>
        <v>4</v>
      </c>
      <c r="T344" s="1">
        <v>30499</v>
      </c>
      <c r="U344" s="5">
        <f t="shared" si="11"/>
        <v>0.000131151841043969</v>
      </c>
    </row>
    <row r="345" spans="1:21">
      <c r="A345" s="1" t="s">
        <v>373</v>
      </c>
      <c r="B345" s="1" t="s">
        <v>47</v>
      </c>
      <c r="C345" s="1" t="s">
        <v>47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1</v>
      </c>
      <c r="K345" s="1">
        <v>0</v>
      </c>
      <c r="L345" s="1">
        <v>0</v>
      </c>
      <c r="M345" s="4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f t="shared" si="10"/>
        <v>2</v>
      </c>
      <c r="T345" s="1">
        <v>31640</v>
      </c>
      <c r="U345" s="5">
        <f t="shared" si="11"/>
        <v>6.32111251580278e-5</v>
      </c>
    </row>
    <row r="346" spans="1:21">
      <c r="A346" s="1" t="s">
        <v>373</v>
      </c>
      <c r="B346" s="1" t="s">
        <v>374</v>
      </c>
      <c r="C346" s="1" t="s">
        <v>41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4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f t="shared" si="10"/>
        <v>0</v>
      </c>
      <c r="T346" s="1">
        <v>31054</v>
      </c>
      <c r="U346" s="5">
        <f t="shared" si="11"/>
        <v>0</v>
      </c>
    </row>
    <row r="347" spans="1:21">
      <c r="A347" s="1" t="s">
        <v>373</v>
      </c>
      <c r="B347" s="1" t="s">
        <v>375</v>
      </c>
      <c r="C347" s="1" t="s">
        <v>36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4">
        <v>0</v>
      </c>
      <c r="N347" s="1">
        <v>0</v>
      </c>
      <c r="O347" s="1">
        <v>0</v>
      </c>
      <c r="P347" s="1">
        <v>0</v>
      </c>
      <c r="Q347" s="1">
        <v>0</v>
      </c>
      <c r="R347" s="1">
        <v>2</v>
      </c>
      <c r="S347" s="1">
        <f t="shared" si="10"/>
        <v>4</v>
      </c>
      <c r="T347" s="1">
        <v>26268</v>
      </c>
      <c r="U347" s="5">
        <f t="shared" si="11"/>
        <v>0.000152276534186082</v>
      </c>
    </row>
    <row r="348" spans="1:21">
      <c r="A348" s="1" t="s">
        <v>373</v>
      </c>
      <c r="B348" s="1" t="s">
        <v>376</v>
      </c>
      <c r="C348" s="1" t="s">
        <v>33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4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f t="shared" si="10"/>
        <v>0</v>
      </c>
      <c r="T348" s="1">
        <v>25972</v>
      </c>
      <c r="U348" s="5">
        <f t="shared" si="11"/>
        <v>0</v>
      </c>
    </row>
    <row r="349" spans="1:21">
      <c r="A349" s="1" t="s">
        <v>373</v>
      </c>
      <c r="B349" s="1" t="s">
        <v>377</v>
      </c>
      <c r="C349" s="1" t="s">
        <v>30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4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f t="shared" si="10"/>
        <v>0</v>
      </c>
      <c r="T349" s="1">
        <v>26721</v>
      </c>
      <c r="U349" s="5">
        <f t="shared" si="11"/>
        <v>0</v>
      </c>
    </row>
    <row r="350" spans="1:21">
      <c r="A350" s="1" t="s">
        <v>373</v>
      </c>
      <c r="B350" s="1" t="s">
        <v>378</v>
      </c>
      <c r="C350" s="1" t="s">
        <v>22</v>
      </c>
      <c r="D350" s="1">
        <v>0</v>
      </c>
      <c r="E350" s="1">
        <v>0</v>
      </c>
      <c r="F350" s="1">
        <v>0</v>
      </c>
      <c r="G350" s="1">
        <v>0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4">
        <v>0</v>
      </c>
      <c r="N350" s="1">
        <v>0</v>
      </c>
      <c r="O350" s="1">
        <v>0</v>
      </c>
      <c r="P350" s="1">
        <v>0</v>
      </c>
      <c r="Q350" s="1">
        <v>0</v>
      </c>
      <c r="R350" s="1">
        <v>2</v>
      </c>
      <c r="S350" s="1">
        <f t="shared" si="10"/>
        <v>6</v>
      </c>
      <c r="T350" s="1">
        <v>31249</v>
      </c>
      <c r="U350" s="5">
        <f t="shared" si="11"/>
        <v>0.000192006144196614</v>
      </c>
    </row>
    <row r="351" spans="1:21">
      <c r="A351" s="1" t="s">
        <v>373</v>
      </c>
      <c r="B351" s="1" t="s">
        <v>379</v>
      </c>
      <c r="C351" s="1" t="s">
        <v>43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4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f t="shared" si="10"/>
        <v>0</v>
      </c>
      <c r="T351" s="1">
        <v>30841</v>
      </c>
      <c r="U351" s="5">
        <f t="shared" si="11"/>
        <v>0</v>
      </c>
    </row>
    <row r="352" spans="1:21">
      <c r="A352" s="1" t="s">
        <v>373</v>
      </c>
      <c r="B352" s="1" t="s">
        <v>380</v>
      </c>
      <c r="C352" s="1" t="s">
        <v>24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4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</v>
      </c>
      <c r="S352" s="1">
        <f t="shared" si="10"/>
        <v>2</v>
      </c>
      <c r="T352" s="1">
        <v>33768</v>
      </c>
      <c r="U352" s="5">
        <f t="shared" si="11"/>
        <v>5.92276711679697e-5</v>
      </c>
    </row>
    <row r="353" spans="1:21">
      <c r="A353" s="1" t="s">
        <v>373</v>
      </c>
      <c r="B353" s="1" t="s">
        <v>381</v>
      </c>
      <c r="C353" s="1" t="s">
        <v>27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4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f t="shared" si="10"/>
        <v>0</v>
      </c>
      <c r="T353" s="1">
        <v>34442</v>
      </c>
      <c r="U353" s="5">
        <f t="shared" si="11"/>
        <v>0</v>
      </c>
    </row>
    <row r="354" spans="1:21">
      <c r="A354" s="1" t="s">
        <v>382</v>
      </c>
      <c r="B354" s="1" t="s">
        <v>383</v>
      </c>
      <c r="C354" s="1" t="s">
        <v>24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4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f t="shared" si="10"/>
        <v>0</v>
      </c>
      <c r="T354" s="1">
        <v>2946</v>
      </c>
      <c r="U354" s="5">
        <f t="shared" si="11"/>
        <v>0</v>
      </c>
    </row>
    <row r="355" spans="1:21">
      <c r="A355" s="1" t="s">
        <v>382</v>
      </c>
      <c r="B355" s="1" t="s">
        <v>384</v>
      </c>
      <c r="C355" s="1" t="s">
        <v>27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4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f t="shared" si="10"/>
        <v>0</v>
      </c>
      <c r="T355" s="1">
        <v>2594</v>
      </c>
      <c r="U355" s="5">
        <f t="shared" si="11"/>
        <v>0</v>
      </c>
    </row>
    <row r="356" spans="1:21">
      <c r="A356" s="1" t="s">
        <v>382</v>
      </c>
      <c r="B356" s="1" t="s">
        <v>385</v>
      </c>
      <c r="C356" s="1" t="s">
        <v>30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4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f t="shared" si="10"/>
        <v>0</v>
      </c>
      <c r="T356" s="1">
        <v>2723</v>
      </c>
      <c r="U356" s="5">
        <f t="shared" si="11"/>
        <v>0</v>
      </c>
    </row>
    <row r="357" spans="1:21">
      <c r="A357" s="1" t="s">
        <v>382</v>
      </c>
      <c r="B357" s="1" t="s">
        <v>386</v>
      </c>
      <c r="C357" s="1" t="s">
        <v>33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4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f t="shared" si="10"/>
        <v>0</v>
      </c>
      <c r="T357" s="1">
        <v>2626</v>
      </c>
      <c r="U357" s="5">
        <f t="shared" si="11"/>
        <v>0</v>
      </c>
    </row>
    <row r="358" spans="1:21">
      <c r="A358" s="1" t="s">
        <v>382</v>
      </c>
      <c r="B358" s="1" t="s">
        <v>387</v>
      </c>
      <c r="C358" s="1" t="s">
        <v>24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4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f t="shared" si="10"/>
        <v>0</v>
      </c>
      <c r="T358" s="1">
        <v>2734</v>
      </c>
      <c r="U358" s="5">
        <f t="shared" si="11"/>
        <v>0</v>
      </c>
    </row>
    <row r="359" spans="1:21">
      <c r="A359" s="1" t="s">
        <v>382</v>
      </c>
      <c r="B359" s="1" t="s">
        <v>388</v>
      </c>
      <c r="C359" s="1" t="s">
        <v>27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4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f t="shared" si="10"/>
        <v>0</v>
      </c>
      <c r="T359" s="1">
        <v>3168</v>
      </c>
      <c r="U359" s="5">
        <f t="shared" si="11"/>
        <v>0</v>
      </c>
    </row>
    <row r="360" spans="1:21">
      <c r="A360" s="1" t="s">
        <v>382</v>
      </c>
      <c r="B360" s="1" t="s">
        <v>389</v>
      </c>
      <c r="C360" s="1" t="s">
        <v>30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4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f t="shared" si="10"/>
        <v>0</v>
      </c>
      <c r="T360" s="1">
        <v>2890</v>
      </c>
      <c r="U360" s="5">
        <f t="shared" si="11"/>
        <v>0</v>
      </c>
    </row>
    <row r="361" spans="1:21">
      <c r="A361" s="1" t="s">
        <v>382</v>
      </c>
      <c r="B361" s="1" t="s">
        <v>390</v>
      </c>
      <c r="C361" s="1" t="s">
        <v>33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4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f t="shared" si="10"/>
        <v>0</v>
      </c>
      <c r="T361" s="1">
        <v>2902</v>
      </c>
      <c r="U361" s="5">
        <f t="shared" si="11"/>
        <v>0</v>
      </c>
    </row>
    <row r="362" spans="1:21">
      <c r="A362" s="1" t="s">
        <v>382</v>
      </c>
      <c r="B362" s="1" t="s">
        <v>391</v>
      </c>
      <c r="C362" s="1" t="s">
        <v>24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4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f t="shared" si="10"/>
        <v>0</v>
      </c>
      <c r="T362" s="1">
        <v>2730</v>
      </c>
      <c r="U362" s="5">
        <f t="shared" si="11"/>
        <v>0</v>
      </c>
    </row>
    <row r="363" spans="1:21">
      <c r="A363" s="1" t="s">
        <v>382</v>
      </c>
      <c r="B363" s="1" t="s">
        <v>392</v>
      </c>
      <c r="C363" s="1" t="s">
        <v>27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4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f t="shared" si="10"/>
        <v>0</v>
      </c>
      <c r="T363" s="1">
        <v>2892</v>
      </c>
      <c r="U363" s="5">
        <f t="shared" si="11"/>
        <v>0</v>
      </c>
    </row>
    <row r="364" spans="1:21">
      <c r="A364" s="1" t="s">
        <v>382</v>
      </c>
      <c r="B364" s="1" t="s">
        <v>393</v>
      </c>
      <c r="C364" s="1" t="s">
        <v>30</v>
      </c>
      <c r="D364" s="1">
        <v>0</v>
      </c>
      <c r="E364" s="1">
        <v>0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4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f t="shared" si="10"/>
        <v>2</v>
      </c>
      <c r="T364" s="1">
        <v>3234</v>
      </c>
      <c r="U364" s="5">
        <f t="shared" si="11"/>
        <v>0.000618429189857761</v>
      </c>
    </row>
    <row r="365" spans="1:21">
      <c r="A365" s="1" t="s">
        <v>382</v>
      </c>
      <c r="B365" s="1" t="s">
        <v>394</v>
      </c>
      <c r="C365" s="1" t="s">
        <v>33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4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f t="shared" si="10"/>
        <v>0</v>
      </c>
      <c r="T365" s="1">
        <v>2117</v>
      </c>
      <c r="U365" s="5">
        <f t="shared" si="11"/>
        <v>0</v>
      </c>
    </row>
    <row r="366" spans="1:21">
      <c r="A366" s="1" t="s">
        <v>382</v>
      </c>
      <c r="B366" s="1" t="s">
        <v>395</v>
      </c>
      <c r="C366" s="1" t="s">
        <v>36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4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f t="shared" si="10"/>
        <v>0</v>
      </c>
      <c r="T366" s="1">
        <v>2017</v>
      </c>
      <c r="U366" s="5">
        <f t="shared" si="11"/>
        <v>0</v>
      </c>
    </row>
    <row r="367" spans="1:21">
      <c r="A367" s="1" t="s">
        <v>382</v>
      </c>
      <c r="B367" s="1" t="s">
        <v>396</v>
      </c>
      <c r="C367" s="1" t="s">
        <v>36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4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f t="shared" si="10"/>
        <v>0</v>
      </c>
      <c r="T367" s="1">
        <v>2241</v>
      </c>
      <c r="U367" s="5">
        <f t="shared" si="11"/>
        <v>0</v>
      </c>
    </row>
    <row r="368" spans="1:21">
      <c r="A368" s="1" t="s">
        <v>382</v>
      </c>
      <c r="B368" s="1" t="s">
        <v>397</v>
      </c>
      <c r="C368" s="1" t="s">
        <v>36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4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f t="shared" si="10"/>
        <v>0</v>
      </c>
      <c r="T368" s="1">
        <v>1779</v>
      </c>
      <c r="U368" s="5">
        <f t="shared" si="11"/>
        <v>0</v>
      </c>
    </row>
    <row r="369" spans="1:21">
      <c r="A369" s="1" t="s">
        <v>382</v>
      </c>
      <c r="B369" s="1" t="s">
        <v>398</v>
      </c>
      <c r="C369" s="1" t="s">
        <v>30</v>
      </c>
      <c r="D369" s="1">
        <v>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4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f t="shared" si="10"/>
        <v>2</v>
      </c>
      <c r="T369" s="1">
        <v>624</v>
      </c>
      <c r="U369" s="5">
        <f t="shared" si="11"/>
        <v>0.00320512820512821</v>
      </c>
    </row>
    <row r="370" spans="1:21">
      <c r="A370" s="1" t="s">
        <v>382</v>
      </c>
      <c r="B370" s="1" t="s">
        <v>399</v>
      </c>
      <c r="C370" s="1" t="s">
        <v>24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4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f t="shared" si="10"/>
        <v>0</v>
      </c>
      <c r="T370" s="1">
        <v>1378</v>
      </c>
      <c r="U370" s="5">
        <f t="shared" si="11"/>
        <v>0</v>
      </c>
    </row>
    <row r="371" spans="1:21">
      <c r="A371" s="1" t="s">
        <v>382</v>
      </c>
      <c r="B371" s="1" t="s">
        <v>400</v>
      </c>
      <c r="C371" s="1" t="s">
        <v>27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4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f t="shared" si="10"/>
        <v>0</v>
      </c>
      <c r="T371" s="1">
        <v>794</v>
      </c>
      <c r="U371" s="5">
        <f t="shared" si="11"/>
        <v>0</v>
      </c>
    </row>
    <row r="372" spans="1:21">
      <c r="A372" s="1" t="s">
        <v>401</v>
      </c>
      <c r="B372" s="1" t="s">
        <v>402</v>
      </c>
      <c r="C372" s="1" t="s">
        <v>22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4">
        <v>0</v>
      </c>
      <c r="N372" s="1">
        <v>0</v>
      </c>
      <c r="O372" s="1">
        <v>0</v>
      </c>
      <c r="P372" s="1">
        <v>0</v>
      </c>
      <c r="Q372" s="1">
        <v>0</v>
      </c>
      <c r="R372" s="1">
        <v>1</v>
      </c>
      <c r="S372" s="1">
        <f t="shared" si="10"/>
        <v>2</v>
      </c>
      <c r="T372" s="1">
        <v>24354</v>
      </c>
      <c r="U372" s="5">
        <f t="shared" si="11"/>
        <v>8.21220333415455e-5</v>
      </c>
    </row>
    <row r="373" spans="1:21">
      <c r="A373" s="1" t="s">
        <v>401</v>
      </c>
      <c r="B373" s="1" t="s">
        <v>403</v>
      </c>
      <c r="C373" s="1" t="s">
        <v>24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1</v>
      </c>
      <c r="L373" s="1">
        <v>0</v>
      </c>
      <c r="M373" s="4">
        <v>0</v>
      </c>
      <c r="N373" s="1">
        <v>0</v>
      </c>
      <c r="O373" s="1">
        <v>0</v>
      </c>
      <c r="P373" s="1">
        <v>0</v>
      </c>
      <c r="Q373" s="1">
        <v>0</v>
      </c>
      <c r="R373" s="1">
        <v>3</v>
      </c>
      <c r="S373" s="1">
        <f t="shared" si="10"/>
        <v>8</v>
      </c>
      <c r="T373" s="1">
        <v>25329</v>
      </c>
      <c r="U373" s="5">
        <f t="shared" si="11"/>
        <v>0.000315843499545975</v>
      </c>
    </row>
    <row r="374" spans="1:21">
      <c r="A374" s="1" t="s">
        <v>401</v>
      </c>
      <c r="B374" s="1" t="s">
        <v>404</v>
      </c>
      <c r="C374" s="1" t="s">
        <v>27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4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f t="shared" si="10"/>
        <v>0</v>
      </c>
      <c r="T374" s="1">
        <v>25010</v>
      </c>
      <c r="U374" s="5">
        <f t="shared" si="11"/>
        <v>0</v>
      </c>
    </row>
    <row r="375" spans="1:21">
      <c r="A375" s="1" t="s">
        <v>401</v>
      </c>
      <c r="B375" s="1" t="s">
        <v>405</v>
      </c>
      <c r="C375" s="1" t="s">
        <v>30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4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f t="shared" si="10"/>
        <v>0</v>
      </c>
      <c r="T375" s="1">
        <v>25880</v>
      </c>
      <c r="U375" s="5">
        <f t="shared" si="11"/>
        <v>0</v>
      </c>
    </row>
    <row r="376" spans="1:21">
      <c r="A376" s="1" t="s">
        <v>401</v>
      </c>
      <c r="B376" s="1" t="s">
        <v>406</v>
      </c>
      <c r="C376" s="1" t="s">
        <v>33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4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f t="shared" si="10"/>
        <v>0</v>
      </c>
      <c r="T376" s="1">
        <v>25483</v>
      </c>
      <c r="U376" s="5">
        <f t="shared" si="11"/>
        <v>0</v>
      </c>
    </row>
    <row r="377" spans="1:21">
      <c r="A377" s="1" t="s">
        <v>401</v>
      </c>
      <c r="B377" s="1" t="s">
        <v>407</v>
      </c>
      <c r="C377" s="1" t="s">
        <v>36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4">
        <v>0</v>
      </c>
      <c r="N377" s="1">
        <v>0</v>
      </c>
      <c r="O377" s="1">
        <v>0</v>
      </c>
      <c r="P377" s="1">
        <v>0</v>
      </c>
      <c r="Q377" s="1">
        <v>0</v>
      </c>
      <c r="R377" s="1">
        <v>1</v>
      </c>
      <c r="S377" s="1">
        <f t="shared" si="10"/>
        <v>2</v>
      </c>
      <c r="T377" s="1">
        <v>33834</v>
      </c>
      <c r="U377" s="5">
        <f t="shared" si="11"/>
        <v>5.91121357214636e-5</v>
      </c>
    </row>
    <row r="378" spans="1:21">
      <c r="A378" s="1" t="s">
        <v>408</v>
      </c>
      <c r="B378" s="1" t="s">
        <v>409</v>
      </c>
      <c r="C378" s="1" t="s">
        <v>41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4">
        <v>0</v>
      </c>
      <c r="N378" s="1">
        <v>1</v>
      </c>
      <c r="O378" s="1">
        <v>0</v>
      </c>
      <c r="P378" s="1">
        <v>0</v>
      </c>
      <c r="Q378" s="1">
        <v>0</v>
      </c>
      <c r="R378" s="1">
        <v>1</v>
      </c>
      <c r="S378" s="1">
        <f t="shared" si="10"/>
        <v>4</v>
      </c>
      <c r="T378" s="1">
        <v>37720</v>
      </c>
      <c r="U378" s="5">
        <f t="shared" si="11"/>
        <v>0.000106044538706257</v>
      </c>
    </row>
    <row r="379" spans="1:21">
      <c r="A379" s="1" t="s">
        <v>408</v>
      </c>
      <c r="B379" s="1" t="s">
        <v>410</v>
      </c>
      <c r="C379" s="1" t="s">
        <v>43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4">
        <v>0</v>
      </c>
      <c r="N379" s="1">
        <v>1</v>
      </c>
      <c r="O379" s="1">
        <v>0</v>
      </c>
      <c r="P379" s="1">
        <v>0</v>
      </c>
      <c r="Q379" s="1">
        <v>0</v>
      </c>
      <c r="R379" s="1">
        <v>2</v>
      </c>
      <c r="S379" s="1">
        <f t="shared" si="10"/>
        <v>6</v>
      </c>
      <c r="T379" s="1">
        <v>38650</v>
      </c>
      <c r="U379" s="5">
        <f t="shared" si="11"/>
        <v>0.000155239327296248</v>
      </c>
    </row>
    <row r="380" spans="1:21">
      <c r="A380" s="1" t="s">
        <v>408</v>
      </c>
      <c r="B380" s="1" t="s">
        <v>411</v>
      </c>
      <c r="C380" s="1" t="s">
        <v>45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4">
        <v>0</v>
      </c>
      <c r="N380" s="1">
        <v>1</v>
      </c>
      <c r="O380" s="1">
        <v>0</v>
      </c>
      <c r="P380" s="1">
        <v>0</v>
      </c>
      <c r="Q380" s="1">
        <v>0</v>
      </c>
      <c r="R380" s="1">
        <v>1</v>
      </c>
      <c r="S380" s="1">
        <f t="shared" si="10"/>
        <v>4</v>
      </c>
      <c r="T380" s="1">
        <v>41604</v>
      </c>
      <c r="U380" s="5">
        <f t="shared" si="11"/>
        <v>9.61446014806269e-5</v>
      </c>
    </row>
    <row r="381" spans="1:21">
      <c r="A381" s="1" t="s">
        <v>408</v>
      </c>
      <c r="B381" s="1" t="s">
        <v>412</v>
      </c>
      <c r="C381" s="1" t="s">
        <v>47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4">
        <v>0</v>
      </c>
      <c r="N381" s="1">
        <v>1</v>
      </c>
      <c r="O381" s="1">
        <v>0</v>
      </c>
      <c r="P381" s="1">
        <v>0</v>
      </c>
      <c r="Q381" s="1">
        <v>0</v>
      </c>
      <c r="R381" s="1">
        <v>2</v>
      </c>
      <c r="S381" s="1">
        <f t="shared" si="10"/>
        <v>6</v>
      </c>
      <c r="T381" s="1">
        <v>34428</v>
      </c>
      <c r="U381" s="5">
        <f t="shared" si="11"/>
        <v>0.000174276751481352</v>
      </c>
    </row>
    <row r="382" spans="1:21">
      <c r="A382" s="1" t="s">
        <v>408</v>
      </c>
      <c r="B382" s="1" t="s">
        <v>413</v>
      </c>
      <c r="C382" s="1" t="s">
        <v>22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4">
        <v>0</v>
      </c>
      <c r="N382" s="1">
        <v>1</v>
      </c>
      <c r="O382" s="1">
        <v>0</v>
      </c>
      <c r="P382" s="1">
        <v>0</v>
      </c>
      <c r="Q382" s="1">
        <v>0</v>
      </c>
      <c r="R382" s="1">
        <v>3</v>
      </c>
      <c r="S382" s="1">
        <f t="shared" si="10"/>
        <v>8</v>
      </c>
      <c r="T382" s="1">
        <v>34520</v>
      </c>
      <c r="U382" s="5">
        <f t="shared" si="11"/>
        <v>0.000231749710312862</v>
      </c>
    </row>
    <row r="383" spans="1:21">
      <c r="A383" s="1" t="s">
        <v>408</v>
      </c>
      <c r="B383" s="1" t="s">
        <v>414</v>
      </c>
      <c r="C383" s="1" t="s">
        <v>24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4">
        <v>0</v>
      </c>
      <c r="N383" s="1">
        <v>1</v>
      </c>
      <c r="O383" s="1">
        <v>0</v>
      </c>
      <c r="P383" s="1">
        <v>0</v>
      </c>
      <c r="Q383" s="1">
        <v>0</v>
      </c>
      <c r="R383" s="1">
        <v>3</v>
      </c>
      <c r="S383" s="1">
        <f t="shared" si="10"/>
        <v>8</v>
      </c>
      <c r="T383" s="1">
        <v>34412</v>
      </c>
      <c r="U383" s="5">
        <f t="shared" si="11"/>
        <v>0.000232477042892014</v>
      </c>
    </row>
    <row r="384" spans="1:21">
      <c r="A384" s="1" t="s">
        <v>408</v>
      </c>
      <c r="B384" s="1" t="s">
        <v>415</v>
      </c>
      <c r="C384" s="1" t="s">
        <v>27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4">
        <v>0</v>
      </c>
      <c r="N384" s="1">
        <v>1</v>
      </c>
      <c r="O384" s="1">
        <v>0</v>
      </c>
      <c r="P384" s="1">
        <v>0</v>
      </c>
      <c r="Q384" s="1">
        <v>0</v>
      </c>
      <c r="R384" s="1">
        <v>3</v>
      </c>
      <c r="S384" s="1">
        <f t="shared" si="10"/>
        <v>8</v>
      </c>
      <c r="T384" s="1">
        <v>35403</v>
      </c>
      <c r="U384" s="5">
        <f t="shared" si="11"/>
        <v>0.000225969550603056</v>
      </c>
    </row>
    <row r="385" spans="1:21">
      <c r="A385" s="1" t="s">
        <v>408</v>
      </c>
      <c r="B385" s="1" t="s">
        <v>416</v>
      </c>
      <c r="C385" s="1" t="s">
        <v>30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4">
        <v>0</v>
      </c>
      <c r="N385" s="1">
        <v>1</v>
      </c>
      <c r="O385" s="1">
        <v>0</v>
      </c>
      <c r="P385" s="1">
        <v>0</v>
      </c>
      <c r="Q385" s="1">
        <v>0</v>
      </c>
      <c r="R385" s="1">
        <v>3</v>
      </c>
      <c r="S385" s="1">
        <f t="shared" si="10"/>
        <v>8</v>
      </c>
      <c r="T385" s="1">
        <v>34995</v>
      </c>
      <c r="U385" s="5">
        <f t="shared" si="11"/>
        <v>0.000228604086298043</v>
      </c>
    </row>
    <row r="386" spans="1:21">
      <c r="A386" s="1" t="s">
        <v>408</v>
      </c>
      <c r="B386" s="1" t="s">
        <v>417</v>
      </c>
      <c r="C386" s="1" t="s">
        <v>33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4">
        <v>0</v>
      </c>
      <c r="N386" s="1">
        <v>1</v>
      </c>
      <c r="O386" s="1">
        <v>0</v>
      </c>
      <c r="P386" s="1">
        <v>0</v>
      </c>
      <c r="Q386" s="1">
        <v>0</v>
      </c>
      <c r="R386" s="1">
        <v>3</v>
      </c>
      <c r="S386" s="1">
        <f t="shared" ref="S386:S449" si="12">D386*2+E386*2+F386*2+G386*1+H386*2+I386*2+J386*2+K386*2+L386*2+M386*2+N386*2+O386*2+P386*2+Q386*2+R386*2</f>
        <v>8</v>
      </c>
      <c r="T386" s="1">
        <v>41275</v>
      </c>
      <c r="U386" s="5">
        <f t="shared" ref="U386:U449" si="13">S386/T386</f>
        <v>0.000193821926105391</v>
      </c>
    </row>
    <row r="387" spans="1:21">
      <c r="A387" s="1" t="s">
        <v>408</v>
      </c>
      <c r="B387" s="1" t="s">
        <v>418</v>
      </c>
      <c r="C387" s="1" t="s">
        <v>36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2</v>
      </c>
      <c r="L387" s="1">
        <v>0</v>
      </c>
      <c r="M387" s="4">
        <v>0</v>
      </c>
      <c r="N387" s="1">
        <v>1</v>
      </c>
      <c r="O387" s="1">
        <v>0</v>
      </c>
      <c r="P387" s="1">
        <v>0</v>
      </c>
      <c r="Q387" s="1">
        <v>0</v>
      </c>
      <c r="R387" s="1">
        <v>2</v>
      </c>
      <c r="S387" s="1">
        <f t="shared" si="12"/>
        <v>10</v>
      </c>
      <c r="T387" s="1">
        <v>52032</v>
      </c>
      <c r="U387" s="5">
        <f t="shared" si="13"/>
        <v>0.000192189421894219</v>
      </c>
    </row>
    <row r="388" spans="1:21">
      <c r="A388" s="1" t="s">
        <v>419</v>
      </c>
      <c r="B388" s="1" t="s">
        <v>420</v>
      </c>
      <c r="C388" s="1" t="s">
        <v>47</v>
      </c>
      <c r="D388" s="1">
        <v>9</v>
      </c>
      <c r="E388" s="1">
        <v>0</v>
      </c>
      <c r="F388" s="1">
        <v>0</v>
      </c>
      <c r="G388" s="1">
        <v>0</v>
      </c>
      <c r="H388" s="1">
        <v>6</v>
      </c>
      <c r="I388" s="1">
        <v>0</v>
      </c>
      <c r="J388" s="1">
        <v>0</v>
      </c>
      <c r="K388" s="1">
        <v>0</v>
      </c>
      <c r="L388" s="1">
        <v>0</v>
      </c>
      <c r="M388" s="4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f t="shared" si="12"/>
        <v>30</v>
      </c>
      <c r="T388" s="1">
        <v>43385</v>
      </c>
      <c r="U388" s="5">
        <f t="shared" si="13"/>
        <v>0.000691483231531635</v>
      </c>
    </row>
    <row r="389" spans="1:21">
      <c r="A389" s="1" t="s">
        <v>419</v>
      </c>
      <c r="B389" s="1" t="s">
        <v>421</v>
      </c>
      <c r="C389" s="1" t="s">
        <v>22</v>
      </c>
      <c r="D389" s="1">
        <v>1</v>
      </c>
      <c r="E389" s="1">
        <v>0</v>
      </c>
      <c r="F389" s="1">
        <v>0</v>
      </c>
      <c r="G389" s="1">
        <v>5</v>
      </c>
      <c r="H389" s="1">
        <v>2</v>
      </c>
      <c r="I389" s="1">
        <v>0</v>
      </c>
      <c r="J389" s="1">
        <v>1</v>
      </c>
      <c r="K389" s="1">
        <v>0</v>
      </c>
      <c r="L389" s="1">
        <v>0</v>
      </c>
      <c r="M389" s="4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f t="shared" si="12"/>
        <v>13</v>
      </c>
      <c r="T389" s="1">
        <v>46465</v>
      </c>
      <c r="U389" s="5">
        <f t="shared" si="13"/>
        <v>0.000279780479931131</v>
      </c>
    </row>
    <row r="390" spans="1:21">
      <c r="A390" s="1" t="s">
        <v>419</v>
      </c>
      <c r="B390" s="1" t="s">
        <v>422</v>
      </c>
      <c r="C390" s="1" t="s">
        <v>24</v>
      </c>
      <c r="D390" s="1">
        <v>4</v>
      </c>
      <c r="E390" s="1">
        <v>1</v>
      </c>
      <c r="F390" s="1">
        <v>0</v>
      </c>
      <c r="G390" s="1">
        <v>3</v>
      </c>
      <c r="H390" s="1">
        <v>2</v>
      </c>
      <c r="I390" s="1">
        <v>0</v>
      </c>
      <c r="J390" s="1">
        <v>3</v>
      </c>
      <c r="K390" s="1">
        <v>0</v>
      </c>
      <c r="L390" s="1">
        <v>0</v>
      </c>
      <c r="M390" s="4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f t="shared" si="12"/>
        <v>23</v>
      </c>
      <c r="T390" s="1">
        <v>45130</v>
      </c>
      <c r="U390" s="5">
        <f t="shared" si="13"/>
        <v>0.000509638821183248</v>
      </c>
    </row>
    <row r="391" spans="1:21">
      <c r="A391" s="1" t="s">
        <v>419</v>
      </c>
      <c r="B391" s="1" t="s">
        <v>423</v>
      </c>
      <c r="C391" s="1" t="s">
        <v>27</v>
      </c>
      <c r="D391" s="1">
        <v>5</v>
      </c>
      <c r="E391" s="1">
        <v>2</v>
      </c>
      <c r="F391" s="1">
        <v>0</v>
      </c>
      <c r="G391" s="1">
        <v>1</v>
      </c>
      <c r="H391" s="1">
        <v>2</v>
      </c>
      <c r="I391" s="1">
        <v>0</v>
      </c>
      <c r="J391" s="1">
        <v>2</v>
      </c>
      <c r="K391" s="1">
        <v>0</v>
      </c>
      <c r="L391" s="1">
        <v>1</v>
      </c>
      <c r="M391" s="4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f t="shared" si="12"/>
        <v>25</v>
      </c>
      <c r="T391" s="1">
        <v>46486</v>
      </c>
      <c r="U391" s="5">
        <f t="shared" si="13"/>
        <v>0.000537796325775502</v>
      </c>
    </row>
    <row r="392" spans="1:21">
      <c r="A392" s="1" t="s">
        <v>419</v>
      </c>
      <c r="B392" s="1" t="s">
        <v>424</v>
      </c>
      <c r="C392" s="1" t="s">
        <v>30</v>
      </c>
      <c r="D392" s="1">
        <v>4</v>
      </c>
      <c r="E392" s="1">
        <v>1</v>
      </c>
      <c r="F392" s="1">
        <v>0</v>
      </c>
      <c r="G392" s="1">
        <v>4</v>
      </c>
      <c r="H392" s="1">
        <v>1</v>
      </c>
      <c r="I392" s="1">
        <v>0</v>
      </c>
      <c r="J392" s="1">
        <v>1</v>
      </c>
      <c r="K392" s="1">
        <v>1</v>
      </c>
      <c r="L392" s="1">
        <v>1</v>
      </c>
      <c r="M392" s="4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f t="shared" si="12"/>
        <v>22</v>
      </c>
      <c r="T392" s="1">
        <v>47027</v>
      </c>
      <c r="U392" s="5">
        <f t="shared" si="13"/>
        <v>0.000467816360814</v>
      </c>
    </row>
    <row r="393" spans="1:21">
      <c r="A393" s="1" t="s">
        <v>419</v>
      </c>
      <c r="B393" s="1" t="s">
        <v>425</v>
      </c>
      <c r="C393" s="1" t="s">
        <v>33</v>
      </c>
      <c r="D393" s="1">
        <v>6</v>
      </c>
      <c r="E393" s="1">
        <v>1</v>
      </c>
      <c r="F393" s="1">
        <v>0</v>
      </c>
      <c r="G393" s="1">
        <v>3</v>
      </c>
      <c r="H393" s="1">
        <v>1</v>
      </c>
      <c r="I393" s="1">
        <v>1</v>
      </c>
      <c r="J393" s="1">
        <v>1</v>
      </c>
      <c r="K393" s="1">
        <v>1</v>
      </c>
      <c r="L393" s="1">
        <v>0</v>
      </c>
      <c r="M393" s="4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f t="shared" si="12"/>
        <v>25</v>
      </c>
      <c r="T393" s="1">
        <v>45319</v>
      </c>
      <c r="U393" s="5">
        <f t="shared" si="13"/>
        <v>0.000551645005406121</v>
      </c>
    </row>
    <row r="394" spans="1:21">
      <c r="A394" s="1" t="s">
        <v>419</v>
      </c>
      <c r="B394" s="1" t="s">
        <v>426</v>
      </c>
      <c r="C394" s="1" t="s">
        <v>36</v>
      </c>
      <c r="D394" s="1">
        <v>3</v>
      </c>
      <c r="E394" s="1">
        <v>0</v>
      </c>
      <c r="F394" s="1">
        <v>0</v>
      </c>
      <c r="G394" s="1">
        <v>36</v>
      </c>
      <c r="H394" s="1">
        <v>1</v>
      </c>
      <c r="I394" s="1">
        <v>4</v>
      </c>
      <c r="J394" s="1">
        <v>0</v>
      </c>
      <c r="K394" s="1">
        <v>1</v>
      </c>
      <c r="L394" s="1">
        <v>0</v>
      </c>
      <c r="M394" s="4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f t="shared" si="12"/>
        <v>54</v>
      </c>
      <c r="T394" s="1">
        <v>45939</v>
      </c>
      <c r="U394" s="5">
        <f t="shared" si="13"/>
        <v>0.00117547182132828</v>
      </c>
    </row>
    <row r="395" spans="1:21">
      <c r="A395" s="1" t="s">
        <v>419</v>
      </c>
      <c r="B395" s="1" t="s">
        <v>427</v>
      </c>
      <c r="C395" s="1" t="s">
        <v>41</v>
      </c>
      <c r="D395" s="1">
        <v>0</v>
      </c>
      <c r="E395" s="1">
        <v>0</v>
      </c>
      <c r="F395" s="1">
        <v>0</v>
      </c>
      <c r="G395" s="1">
        <v>0</v>
      </c>
      <c r="H395" s="1">
        <v>2</v>
      </c>
      <c r="I395" s="1">
        <v>0</v>
      </c>
      <c r="J395" s="1">
        <v>2</v>
      </c>
      <c r="K395" s="1">
        <v>0</v>
      </c>
      <c r="L395" s="1">
        <v>0</v>
      </c>
      <c r="M395" s="4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f t="shared" si="12"/>
        <v>8</v>
      </c>
      <c r="T395" s="1">
        <v>38085</v>
      </c>
      <c r="U395" s="5">
        <f t="shared" si="13"/>
        <v>0.000210056452671655</v>
      </c>
    </row>
    <row r="396" spans="1:21">
      <c r="A396" s="1" t="s">
        <v>419</v>
      </c>
      <c r="B396" s="1" t="s">
        <v>428</v>
      </c>
      <c r="C396" s="1" t="s">
        <v>43</v>
      </c>
      <c r="D396" s="1">
        <v>0</v>
      </c>
      <c r="E396" s="1">
        <v>1</v>
      </c>
      <c r="F396" s="1">
        <v>0</v>
      </c>
      <c r="G396" s="1">
        <v>0</v>
      </c>
      <c r="H396" s="1">
        <v>0</v>
      </c>
      <c r="I396" s="1">
        <v>0</v>
      </c>
      <c r="J396" s="1">
        <v>1</v>
      </c>
      <c r="K396" s="1">
        <v>0</v>
      </c>
      <c r="L396" s="1">
        <v>0</v>
      </c>
      <c r="M396" s="4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f t="shared" si="12"/>
        <v>4</v>
      </c>
      <c r="T396" s="1">
        <v>39923</v>
      </c>
      <c r="U396" s="5">
        <f t="shared" si="13"/>
        <v>0.000100192871277209</v>
      </c>
    </row>
    <row r="397" spans="1:21">
      <c r="A397" s="1" t="s">
        <v>419</v>
      </c>
      <c r="B397" s="1" t="s">
        <v>429</v>
      </c>
      <c r="C397" s="1" t="s">
        <v>45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4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f t="shared" si="12"/>
        <v>0</v>
      </c>
      <c r="T397" s="1">
        <v>52319</v>
      </c>
      <c r="U397" s="5">
        <f t="shared" si="13"/>
        <v>0</v>
      </c>
    </row>
    <row r="398" spans="1:21">
      <c r="A398" s="1" t="s">
        <v>430</v>
      </c>
      <c r="B398" s="1" t="s">
        <v>431</v>
      </c>
      <c r="C398" s="1" t="s">
        <v>30</v>
      </c>
      <c r="D398" s="1">
        <v>3</v>
      </c>
      <c r="E398" s="1">
        <v>5</v>
      </c>
      <c r="F398" s="1">
        <v>0</v>
      </c>
      <c r="G398" s="1">
        <v>2</v>
      </c>
      <c r="H398" s="1">
        <v>0</v>
      </c>
      <c r="I398" s="1">
        <v>0</v>
      </c>
      <c r="J398" s="1">
        <v>5</v>
      </c>
      <c r="K398" s="1">
        <v>1</v>
      </c>
      <c r="L398" s="1">
        <v>0</v>
      </c>
      <c r="M398" s="4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f t="shared" si="12"/>
        <v>30</v>
      </c>
      <c r="T398" s="1">
        <v>85981</v>
      </c>
      <c r="U398" s="5">
        <f t="shared" si="13"/>
        <v>0.000348914295018667</v>
      </c>
    </row>
    <row r="399" spans="1:21">
      <c r="A399" s="1" t="s">
        <v>430</v>
      </c>
      <c r="B399" s="1" t="s">
        <v>432</v>
      </c>
      <c r="C399" s="1" t="s">
        <v>47</v>
      </c>
      <c r="D399" s="1">
        <v>0</v>
      </c>
      <c r="E399" s="1">
        <v>0</v>
      </c>
      <c r="F399" s="1">
        <v>0</v>
      </c>
      <c r="G399" s="1">
        <v>0</v>
      </c>
      <c r="H399" s="1">
        <v>4</v>
      </c>
      <c r="I399" s="1">
        <v>0</v>
      </c>
      <c r="J399" s="1">
        <v>4</v>
      </c>
      <c r="K399" s="1">
        <v>2</v>
      </c>
      <c r="L399" s="1">
        <v>0</v>
      </c>
      <c r="M399" s="4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f t="shared" si="12"/>
        <v>20</v>
      </c>
      <c r="T399" s="1">
        <v>46346</v>
      </c>
      <c r="U399" s="5">
        <f t="shared" si="13"/>
        <v>0.000431536702196522</v>
      </c>
    </row>
    <row r="400" spans="1:21">
      <c r="A400" s="1" t="s">
        <v>430</v>
      </c>
      <c r="B400" s="1" t="s">
        <v>433</v>
      </c>
      <c r="C400" s="1" t="s">
        <v>22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4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f t="shared" si="12"/>
        <v>0</v>
      </c>
      <c r="T400" s="1">
        <v>52212</v>
      </c>
      <c r="U400" s="5">
        <f t="shared" si="13"/>
        <v>0</v>
      </c>
    </row>
    <row r="401" spans="1:21">
      <c r="A401" s="1" t="s">
        <v>430</v>
      </c>
      <c r="B401" s="1" t="s">
        <v>434</v>
      </c>
      <c r="C401" s="1" t="s">
        <v>24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4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f t="shared" si="12"/>
        <v>0</v>
      </c>
      <c r="T401" s="1">
        <v>54307</v>
      </c>
      <c r="U401" s="5">
        <f t="shared" si="13"/>
        <v>0</v>
      </c>
    </row>
    <row r="402" spans="1:21">
      <c r="A402" s="1" t="s">
        <v>430</v>
      </c>
      <c r="B402" s="1" t="s">
        <v>435</v>
      </c>
      <c r="C402" s="1" t="s">
        <v>27</v>
      </c>
      <c r="D402" s="1">
        <v>2</v>
      </c>
      <c r="E402" s="1">
        <v>3</v>
      </c>
      <c r="F402" s="1">
        <v>0</v>
      </c>
      <c r="G402" s="1">
        <v>0</v>
      </c>
      <c r="H402" s="1">
        <v>0</v>
      </c>
      <c r="I402" s="1">
        <v>0</v>
      </c>
      <c r="J402" s="1">
        <v>3</v>
      </c>
      <c r="K402" s="1">
        <v>0</v>
      </c>
      <c r="L402" s="1">
        <v>0</v>
      </c>
      <c r="M402" s="4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f t="shared" si="12"/>
        <v>16</v>
      </c>
      <c r="T402" s="1">
        <v>59742</v>
      </c>
      <c r="U402" s="5">
        <f t="shared" si="13"/>
        <v>0.000267818285293428</v>
      </c>
    </row>
    <row r="403" spans="1:21">
      <c r="A403" s="1" t="s">
        <v>430</v>
      </c>
      <c r="B403" s="1" t="s">
        <v>436</v>
      </c>
      <c r="C403" s="1" t="s">
        <v>33</v>
      </c>
      <c r="D403" s="1">
        <v>2</v>
      </c>
      <c r="E403" s="1">
        <v>3</v>
      </c>
      <c r="F403" s="1">
        <v>0</v>
      </c>
      <c r="G403" s="1">
        <v>4</v>
      </c>
      <c r="H403" s="1">
        <v>0</v>
      </c>
      <c r="I403" s="1">
        <v>1</v>
      </c>
      <c r="J403" s="1">
        <v>5</v>
      </c>
      <c r="K403" s="1">
        <v>0</v>
      </c>
      <c r="L403" s="1">
        <v>0</v>
      </c>
      <c r="M403" s="4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f t="shared" si="12"/>
        <v>26</v>
      </c>
      <c r="T403" s="1">
        <v>86640</v>
      </c>
      <c r="U403" s="5">
        <f t="shared" si="13"/>
        <v>0.000300092336103416</v>
      </c>
    </row>
    <row r="404" spans="1:21">
      <c r="A404" s="1" t="s">
        <v>430</v>
      </c>
      <c r="B404" s="1" t="s">
        <v>437</v>
      </c>
      <c r="C404" s="1" t="s">
        <v>36</v>
      </c>
      <c r="D404" s="1">
        <v>2</v>
      </c>
      <c r="E404" s="1">
        <v>4</v>
      </c>
      <c r="F404" s="1">
        <v>0</v>
      </c>
      <c r="G404" s="1">
        <v>5</v>
      </c>
      <c r="H404" s="1">
        <v>0</v>
      </c>
      <c r="I404" s="1">
        <v>2</v>
      </c>
      <c r="J404" s="1">
        <v>2</v>
      </c>
      <c r="K404" s="1">
        <v>1</v>
      </c>
      <c r="L404" s="1">
        <v>0</v>
      </c>
      <c r="M404" s="4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f t="shared" si="12"/>
        <v>27</v>
      </c>
      <c r="T404" s="1">
        <v>93317</v>
      </c>
      <c r="U404" s="5">
        <f t="shared" si="13"/>
        <v>0.00028933634814664</v>
      </c>
    </row>
    <row r="405" spans="1:21">
      <c r="A405" s="1" t="s">
        <v>438</v>
      </c>
      <c r="B405" s="1" t="s">
        <v>43</v>
      </c>
      <c r="C405" s="1" t="s">
        <v>43</v>
      </c>
      <c r="D405" s="4">
        <v>13</v>
      </c>
      <c r="E405" s="4">
        <v>0</v>
      </c>
      <c r="F405" s="4">
        <v>0</v>
      </c>
      <c r="G405" s="4">
        <v>22</v>
      </c>
      <c r="H405" s="4">
        <v>0</v>
      </c>
      <c r="I405" s="4">
        <v>0</v>
      </c>
      <c r="J405" s="4">
        <v>2</v>
      </c>
      <c r="K405" s="1">
        <v>0</v>
      </c>
      <c r="L405" s="4">
        <v>0</v>
      </c>
      <c r="M405" s="4">
        <v>0</v>
      </c>
      <c r="N405" s="1">
        <v>0</v>
      </c>
      <c r="O405" s="1">
        <v>0</v>
      </c>
      <c r="P405" s="1">
        <v>0</v>
      </c>
      <c r="Q405" s="1">
        <v>0</v>
      </c>
      <c r="R405" s="4">
        <v>2</v>
      </c>
      <c r="S405" s="1">
        <f t="shared" si="12"/>
        <v>56</v>
      </c>
      <c r="T405" s="4">
        <v>74361</v>
      </c>
      <c r="U405" s="5">
        <f t="shared" si="13"/>
        <v>0.000753082933258025</v>
      </c>
    </row>
    <row r="406" spans="1:21">
      <c r="A406" s="1" t="s">
        <v>438</v>
      </c>
      <c r="B406" s="1" t="s">
        <v>47</v>
      </c>
      <c r="C406" s="1" t="s">
        <v>47</v>
      </c>
      <c r="D406" s="4">
        <v>83</v>
      </c>
      <c r="E406" s="4">
        <v>0</v>
      </c>
      <c r="F406" s="4">
        <v>0</v>
      </c>
      <c r="G406" s="4">
        <v>111</v>
      </c>
      <c r="H406" s="4">
        <v>0</v>
      </c>
      <c r="I406" s="4">
        <v>0</v>
      </c>
      <c r="J406" s="4">
        <v>1</v>
      </c>
      <c r="K406" s="1">
        <v>0</v>
      </c>
      <c r="L406" s="4">
        <v>0</v>
      </c>
      <c r="M406" s="4">
        <v>0</v>
      </c>
      <c r="N406" s="1">
        <v>0</v>
      </c>
      <c r="O406" s="1">
        <v>0</v>
      </c>
      <c r="P406" s="1">
        <v>0</v>
      </c>
      <c r="Q406" s="1">
        <v>0</v>
      </c>
      <c r="R406" s="4">
        <v>0</v>
      </c>
      <c r="S406" s="1">
        <f t="shared" si="12"/>
        <v>279</v>
      </c>
      <c r="T406" s="4">
        <v>90453</v>
      </c>
      <c r="U406" s="5">
        <f t="shared" si="13"/>
        <v>0.00308447481012238</v>
      </c>
    </row>
    <row r="407" spans="1:21">
      <c r="A407" s="1" t="s">
        <v>438</v>
      </c>
      <c r="B407" s="1" t="s">
        <v>22</v>
      </c>
      <c r="C407" s="1" t="s">
        <v>22</v>
      </c>
      <c r="D407" s="4">
        <v>80</v>
      </c>
      <c r="E407" s="4">
        <v>0</v>
      </c>
      <c r="F407" s="4">
        <v>0</v>
      </c>
      <c r="G407" s="4">
        <v>85</v>
      </c>
      <c r="H407" s="4">
        <v>0</v>
      </c>
      <c r="I407" s="4">
        <v>0</v>
      </c>
      <c r="J407" s="4">
        <v>1</v>
      </c>
      <c r="K407" s="1">
        <v>0</v>
      </c>
      <c r="L407" s="4">
        <v>0</v>
      </c>
      <c r="M407" s="4">
        <v>0</v>
      </c>
      <c r="N407" s="1">
        <v>0</v>
      </c>
      <c r="O407" s="1">
        <v>0</v>
      </c>
      <c r="P407" s="1">
        <v>0</v>
      </c>
      <c r="Q407" s="1">
        <v>0</v>
      </c>
      <c r="R407" s="4">
        <v>0</v>
      </c>
      <c r="S407" s="1">
        <f t="shared" si="12"/>
        <v>247</v>
      </c>
      <c r="T407" s="4">
        <v>85245</v>
      </c>
      <c r="U407" s="5">
        <f t="shared" si="13"/>
        <v>0.00289753064695877</v>
      </c>
    </row>
    <row r="408" spans="1:21">
      <c r="A408" s="1" t="s">
        <v>438</v>
      </c>
      <c r="B408" s="1" t="s">
        <v>24</v>
      </c>
      <c r="C408" s="1" t="s">
        <v>24</v>
      </c>
      <c r="D408" s="4">
        <v>59</v>
      </c>
      <c r="E408" s="4">
        <v>0</v>
      </c>
      <c r="F408" s="4">
        <v>0</v>
      </c>
      <c r="G408" s="4">
        <v>53</v>
      </c>
      <c r="H408" s="4">
        <v>0</v>
      </c>
      <c r="I408" s="4">
        <v>0</v>
      </c>
      <c r="J408" s="4">
        <v>0</v>
      </c>
      <c r="K408" s="1">
        <v>0</v>
      </c>
      <c r="L408" s="4">
        <v>0</v>
      </c>
      <c r="M408" s="4">
        <v>0</v>
      </c>
      <c r="N408" s="1">
        <v>0</v>
      </c>
      <c r="O408" s="1">
        <v>0</v>
      </c>
      <c r="P408" s="1">
        <v>0</v>
      </c>
      <c r="Q408" s="1">
        <v>0</v>
      </c>
      <c r="R408" s="4">
        <v>0</v>
      </c>
      <c r="S408" s="1">
        <f t="shared" si="12"/>
        <v>171</v>
      </c>
      <c r="T408" s="4">
        <v>77324</v>
      </c>
      <c r="U408" s="5">
        <f t="shared" si="13"/>
        <v>0.0022114737985619</v>
      </c>
    </row>
    <row r="409" spans="1:21">
      <c r="A409" s="1" t="s">
        <v>438</v>
      </c>
      <c r="B409" s="1" t="s">
        <v>27</v>
      </c>
      <c r="C409" s="1" t="s">
        <v>27</v>
      </c>
      <c r="D409" s="4">
        <v>25</v>
      </c>
      <c r="E409" s="4">
        <v>0</v>
      </c>
      <c r="F409" s="4">
        <v>0</v>
      </c>
      <c r="G409" s="4">
        <v>39</v>
      </c>
      <c r="H409" s="4">
        <v>0</v>
      </c>
      <c r="I409" s="4">
        <v>0</v>
      </c>
      <c r="J409" s="4">
        <v>2</v>
      </c>
      <c r="K409" s="1">
        <v>0</v>
      </c>
      <c r="L409" s="4">
        <v>0</v>
      </c>
      <c r="M409" s="4">
        <v>0</v>
      </c>
      <c r="N409" s="1">
        <v>0</v>
      </c>
      <c r="O409" s="1">
        <v>0</v>
      </c>
      <c r="P409" s="1">
        <v>0</v>
      </c>
      <c r="Q409" s="1">
        <v>0</v>
      </c>
      <c r="R409" s="4">
        <v>1</v>
      </c>
      <c r="S409" s="1">
        <f t="shared" si="12"/>
        <v>95</v>
      </c>
      <c r="T409" s="4">
        <v>84283</v>
      </c>
      <c r="U409" s="5">
        <f t="shared" si="13"/>
        <v>0.0011271549422778</v>
      </c>
    </row>
    <row r="410" spans="1:21">
      <c r="A410" s="1" t="s">
        <v>438</v>
      </c>
      <c r="B410" s="1" t="s">
        <v>30</v>
      </c>
      <c r="C410" s="1" t="s">
        <v>30</v>
      </c>
      <c r="D410" s="4">
        <v>0</v>
      </c>
      <c r="E410" s="4">
        <v>0</v>
      </c>
      <c r="F410" s="4">
        <v>0</v>
      </c>
      <c r="G410" s="4">
        <v>7</v>
      </c>
      <c r="H410" s="4">
        <v>0</v>
      </c>
      <c r="I410" s="4">
        <v>0</v>
      </c>
      <c r="J410" s="4">
        <v>0</v>
      </c>
      <c r="K410" s="1">
        <v>0</v>
      </c>
      <c r="L410" s="4">
        <v>0</v>
      </c>
      <c r="M410" s="4">
        <v>0</v>
      </c>
      <c r="N410" s="1">
        <v>0</v>
      </c>
      <c r="O410" s="1">
        <v>0</v>
      </c>
      <c r="P410" s="1">
        <v>0</v>
      </c>
      <c r="Q410" s="1">
        <v>0</v>
      </c>
      <c r="R410" s="4">
        <v>0</v>
      </c>
      <c r="S410" s="1">
        <f t="shared" si="12"/>
        <v>7</v>
      </c>
      <c r="T410" s="4">
        <v>72689</v>
      </c>
      <c r="U410" s="5">
        <f t="shared" si="13"/>
        <v>9.63006782319195e-5</v>
      </c>
    </row>
    <row r="411" spans="1:21">
      <c r="A411" s="1" t="s">
        <v>438</v>
      </c>
      <c r="B411" s="1" t="s">
        <v>439</v>
      </c>
      <c r="C411" s="1" t="s">
        <v>33</v>
      </c>
      <c r="D411" s="4">
        <v>0</v>
      </c>
      <c r="E411" s="4">
        <v>0</v>
      </c>
      <c r="F411" s="4">
        <v>0</v>
      </c>
      <c r="G411" s="4">
        <v>3</v>
      </c>
      <c r="H411" s="4">
        <v>0</v>
      </c>
      <c r="I411" s="4">
        <v>0</v>
      </c>
      <c r="J411" s="4">
        <v>0</v>
      </c>
      <c r="K411" s="1">
        <v>0</v>
      </c>
      <c r="L411" s="4">
        <v>0</v>
      </c>
      <c r="M411" s="4">
        <v>0</v>
      </c>
      <c r="N411" s="1">
        <v>0</v>
      </c>
      <c r="O411" s="1">
        <v>0</v>
      </c>
      <c r="P411" s="1">
        <v>0</v>
      </c>
      <c r="Q411" s="1">
        <v>0</v>
      </c>
      <c r="R411" s="4">
        <v>0</v>
      </c>
      <c r="S411" s="1">
        <f t="shared" si="12"/>
        <v>3</v>
      </c>
      <c r="T411" s="4">
        <v>77470</v>
      </c>
      <c r="U411" s="5">
        <f t="shared" si="13"/>
        <v>3.87246676132697e-5</v>
      </c>
    </row>
    <row r="412" spans="1:21">
      <c r="A412" s="1" t="s">
        <v>438</v>
      </c>
      <c r="B412" s="1" t="s">
        <v>440</v>
      </c>
      <c r="C412" s="1" t="s">
        <v>36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1">
        <v>0</v>
      </c>
      <c r="L412" s="4">
        <v>0</v>
      </c>
      <c r="M412" s="4">
        <v>0</v>
      </c>
      <c r="N412" s="1">
        <v>0</v>
      </c>
      <c r="O412" s="1">
        <v>0</v>
      </c>
      <c r="P412" s="1">
        <v>0</v>
      </c>
      <c r="Q412" s="1">
        <v>0</v>
      </c>
      <c r="R412" s="4">
        <v>0</v>
      </c>
      <c r="S412" s="1">
        <f t="shared" si="12"/>
        <v>0</v>
      </c>
      <c r="T412" s="4">
        <v>51726</v>
      </c>
      <c r="U412" s="5">
        <f t="shared" si="13"/>
        <v>0</v>
      </c>
    </row>
    <row r="413" spans="1:21">
      <c r="A413" s="1" t="s">
        <v>441</v>
      </c>
      <c r="B413" s="1" t="s">
        <v>442</v>
      </c>
      <c r="C413" s="1" t="s">
        <v>41</v>
      </c>
      <c r="D413" s="1">
        <v>0</v>
      </c>
      <c r="E413" s="1">
        <v>0</v>
      </c>
      <c r="F413" s="1">
        <v>0</v>
      </c>
      <c r="G413" s="1">
        <v>2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4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f t="shared" si="12"/>
        <v>2</v>
      </c>
      <c r="T413" s="1">
        <v>116566</v>
      </c>
      <c r="U413" s="5">
        <f t="shared" si="13"/>
        <v>1.71576617538562e-5</v>
      </c>
    </row>
    <row r="414" spans="1:21">
      <c r="A414" s="1" t="s">
        <v>441</v>
      </c>
      <c r="B414" s="1" t="s">
        <v>443</v>
      </c>
      <c r="C414" s="1" t="s">
        <v>43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4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f t="shared" si="12"/>
        <v>0</v>
      </c>
      <c r="T414" s="1">
        <v>69515</v>
      </c>
      <c r="U414" s="5">
        <f t="shared" si="13"/>
        <v>0</v>
      </c>
    </row>
    <row r="415" spans="1:21">
      <c r="A415" s="1" t="s">
        <v>441</v>
      </c>
      <c r="B415" s="1" t="s">
        <v>444</v>
      </c>
      <c r="C415" s="1" t="s">
        <v>45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4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f t="shared" si="12"/>
        <v>0</v>
      </c>
      <c r="T415" s="1">
        <v>74341</v>
      </c>
      <c r="U415" s="5">
        <f t="shared" si="13"/>
        <v>0</v>
      </c>
    </row>
    <row r="416" spans="1:21">
      <c r="A416" s="1" t="s">
        <v>441</v>
      </c>
      <c r="B416" s="1" t="s">
        <v>445</v>
      </c>
      <c r="C416" s="1" t="s">
        <v>47</v>
      </c>
      <c r="D416" s="1">
        <v>0</v>
      </c>
      <c r="E416" s="1">
        <v>1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4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f t="shared" si="12"/>
        <v>2</v>
      </c>
      <c r="T416" s="1">
        <v>68738</v>
      </c>
      <c r="U416" s="5">
        <f t="shared" si="13"/>
        <v>2.90959876633012e-5</v>
      </c>
    </row>
    <row r="417" spans="1:21">
      <c r="A417" s="1" t="s">
        <v>441</v>
      </c>
      <c r="B417" s="1" t="s">
        <v>446</v>
      </c>
      <c r="C417" s="1" t="s">
        <v>22</v>
      </c>
      <c r="D417" s="1">
        <v>1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1</v>
      </c>
      <c r="K417" s="1">
        <v>0</v>
      </c>
      <c r="L417" s="1">
        <v>0</v>
      </c>
      <c r="M417" s="4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f t="shared" si="12"/>
        <v>4</v>
      </c>
      <c r="T417" s="1">
        <v>46831</v>
      </c>
      <c r="U417" s="5">
        <f t="shared" si="13"/>
        <v>8.54135081463133e-5</v>
      </c>
    </row>
    <row r="418" spans="1:21">
      <c r="A418" s="1" t="s">
        <v>441</v>
      </c>
      <c r="B418" s="1" t="s">
        <v>447</v>
      </c>
      <c r="C418" s="1" t="s">
        <v>24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1</v>
      </c>
      <c r="K418" s="1">
        <v>0</v>
      </c>
      <c r="L418" s="1">
        <v>0</v>
      </c>
      <c r="M418" s="4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f t="shared" si="12"/>
        <v>2</v>
      </c>
      <c r="T418" s="1">
        <v>48232</v>
      </c>
      <c r="U418" s="5">
        <f t="shared" si="13"/>
        <v>4.14662464753691e-5</v>
      </c>
    </row>
    <row r="419" spans="1:21">
      <c r="A419" s="1" t="s">
        <v>441</v>
      </c>
      <c r="B419" s="1" t="s">
        <v>448</v>
      </c>
      <c r="C419" s="1" t="s">
        <v>27</v>
      </c>
      <c r="D419" s="1">
        <v>1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1</v>
      </c>
      <c r="K419" s="1">
        <v>0</v>
      </c>
      <c r="L419" s="1">
        <v>0</v>
      </c>
      <c r="M419" s="4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f t="shared" si="12"/>
        <v>4</v>
      </c>
      <c r="T419" s="1">
        <v>48933</v>
      </c>
      <c r="U419" s="5">
        <f t="shared" si="13"/>
        <v>8.17444260519486e-5</v>
      </c>
    </row>
    <row r="420" spans="1:21">
      <c r="A420" s="1" t="s">
        <v>441</v>
      </c>
      <c r="B420" s="1" t="s">
        <v>449</v>
      </c>
      <c r="C420" s="1" t="s">
        <v>30</v>
      </c>
      <c r="D420" s="1">
        <v>1</v>
      </c>
      <c r="E420" s="1">
        <v>1</v>
      </c>
      <c r="F420" s="1">
        <v>0</v>
      </c>
      <c r="G420" s="1">
        <v>0</v>
      </c>
      <c r="H420" s="1">
        <v>0</v>
      </c>
      <c r="I420" s="1">
        <v>0</v>
      </c>
      <c r="J420" s="1">
        <v>1</v>
      </c>
      <c r="K420" s="1">
        <v>0</v>
      </c>
      <c r="L420" s="1">
        <v>0</v>
      </c>
      <c r="M420" s="4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f t="shared" si="12"/>
        <v>6</v>
      </c>
      <c r="T420" s="1">
        <v>43645</v>
      </c>
      <c r="U420" s="5">
        <f t="shared" si="13"/>
        <v>0.000137472791843281</v>
      </c>
    </row>
    <row r="421" spans="1:21">
      <c r="A421" s="1" t="s">
        <v>441</v>
      </c>
      <c r="B421" s="1" t="s">
        <v>450</v>
      </c>
      <c r="C421" s="1" t="s">
        <v>33</v>
      </c>
      <c r="D421" s="1">
        <v>1</v>
      </c>
      <c r="E421" s="1">
        <v>1</v>
      </c>
      <c r="F421" s="1">
        <v>0</v>
      </c>
      <c r="G421" s="1">
        <v>0</v>
      </c>
      <c r="H421" s="1">
        <v>0</v>
      </c>
      <c r="I421" s="1">
        <v>0</v>
      </c>
      <c r="J421" s="1">
        <v>1</v>
      </c>
      <c r="K421" s="1">
        <v>0</v>
      </c>
      <c r="L421" s="1">
        <v>0</v>
      </c>
      <c r="M421" s="4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f t="shared" si="12"/>
        <v>6</v>
      </c>
      <c r="T421" s="1">
        <v>42929</v>
      </c>
      <c r="U421" s="5">
        <f t="shared" si="13"/>
        <v>0.000139765659577442</v>
      </c>
    </row>
    <row r="422" spans="1:21">
      <c r="A422" s="1" t="s">
        <v>441</v>
      </c>
      <c r="B422" s="1" t="s">
        <v>451</v>
      </c>
      <c r="C422" s="1" t="s">
        <v>36</v>
      </c>
      <c r="D422" s="1">
        <v>2</v>
      </c>
      <c r="E422" s="1">
        <v>1</v>
      </c>
      <c r="F422" s="1">
        <v>0</v>
      </c>
      <c r="G422" s="1">
        <v>1</v>
      </c>
      <c r="H422" s="1">
        <v>0</v>
      </c>
      <c r="I422" s="1">
        <v>0</v>
      </c>
      <c r="J422" s="1">
        <v>1</v>
      </c>
      <c r="K422" s="1">
        <v>0</v>
      </c>
      <c r="L422" s="1">
        <v>0</v>
      </c>
      <c r="M422" s="4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f t="shared" si="12"/>
        <v>9</v>
      </c>
      <c r="T422" s="1">
        <v>43929</v>
      </c>
      <c r="U422" s="5">
        <f t="shared" si="13"/>
        <v>0.000204876049989756</v>
      </c>
    </row>
    <row r="423" spans="1:21">
      <c r="A423" s="1" t="s">
        <v>452</v>
      </c>
      <c r="B423" s="1" t="s">
        <v>453</v>
      </c>
      <c r="C423" s="1" t="s">
        <v>43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4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f t="shared" si="12"/>
        <v>0</v>
      </c>
      <c r="T423" s="1">
        <v>38122</v>
      </c>
      <c r="U423" s="5">
        <f t="shared" si="13"/>
        <v>0</v>
      </c>
    </row>
    <row r="424" spans="1:21">
      <c r="A424" s="1" t="s">
        <v>452</v>
      </c>
      <c r="B424" s="1" t="s">
        <v>454</v>
      </c>
      <c r="C424" s="1" t="s">
        <v>45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4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f t="shared" si="12"/>
        <v>0</v>
      </c>
      <c r="T424" s="1">
        <v>76325</v>
      </c>
      <c r="U424" s="5">
        <f t="shared" si="13"/>
        <v>0</v>
      </c>
    </row>
    <row r="425" spans="1:21">
      <c r="A425" s="1" t="s">
        <v>452</v>
      </c>
      <c r="B425" s="1" t="s">
        <v>455</v>
      </c>
      <c r="C425" s="1" t="s">
        <v>47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4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f t="shared" si="12"/>
        <v>0</v>
      </c>
      <c r="T425" s="1">
        <v>59892</v>
      </c>
      <c r="U425" s="5">
        <f t="shared" si="13"/>
        <v>0</v>
      </c>
    </row>
    <row r="426" spans="1:21">
      <c r="A426" s="1" t="s">
        <v>452</v>
      </c>
      <c r="B426" s="1" t="s">
        <v>456</v>
      </c>
      <c r="C426" s="1" t="s">
        <v>22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4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f t="shared" si="12"/>
        <v>0</v>
      </c>
      <c r="T426" s="1">
        <v>74052</v>
      </c>
      <c r="U426" s="5">
        <f t="shared" si="13"/>
        <v>0</v>
      </c>
    </row>
    <row r="427" spans="1:21">
      <c r="A427" s="1" t="s">
        <v>452</v>
      </c>
      <c r="B427" s="1" t="s">
        <v>457</v>
      </c>
      <c r="C427" s="1" t="s">
        <v>24</v>
      </c>
      <c r="D427" s="1">
        <v>0</v>
      </c>
      <c r="E427" s="1">
        <v>1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4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f t="shared" si="12"/>
        <v>2</v>
      </c>
      <c r="T427" s="1">
        <v>62472</v>
      </c>
      <c r="U427" s="5">
        <f t="shared" si="13"/>
        <v>3.20143424254066e-5</v>
      </c>
    </row>
    <row r="428" spans="1:21">
      <c r="A428" s="1" t="s">
        <v>452</v>
      </c>
      <c r="B428" s="1" t="s">
        <v>458</v>
      </c>
      <c r="C428" s="1" t="s">
        <v>27</v>
      </c>
      <c r="D428" s="1">
        <v>0</v>
      </c>
      <c r="E428" s="1">
        <v>1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4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f t="shared" si="12"/>
        <v>2</v>
      </c>
      <c r="T428" s="1">
        <v>65959</v>
      </c>
      <c r="U428" s="5">
        <f t="shared" si="13"/>
        <v>3.03218666141088e-5</v>
      </c>
    </row>
    <row r="429" spans="1:21">
      <c r="A429" s="1" t="s">
        <v>452</v>
      </c>
      <c r="B429" s="1" t="s">
        <v>459</v>
      </c>
      <c r="C429" s="1" t="s">
        <v>30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4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f t="shared" si="12"/>
        <v>0</v>
      </c>
      <c r="T429" s="1">
        <v>57787</v>
      </c>
      <c r="U429" s="5">
        <f t="shared" si="13"/>
        <v>0</v>
      </c>
    </row>
    <row r="430" spans="1:21">
      <c r="A430" s="1" t="s">
        <v>452</v>
      </c>
      <c r="B430" s="1" t="s">
        <v>460</v>
      </c>
      <c r="C430" s="1" t="s">
        <v>33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4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f t="shared" si="12"/>
        <v>0</v>
      </c>
      <c r="T430" s="1">
        <v>29532</v>
      </c>
      <c r="U430" s="5">
        <f t="shared" si="13"/>
        <v>0</v>
      </c>
    </row>
    <row r="431" spans="1:21">
      <c r="A431" s="1" t="s">
        <v>452</v>
      </c>
      <c r="B431" s="1" t="s">
        <v>461</v>
      </c>
      <c r="C431" s="1" t="s">
        <v>36</v>
      </c>
      <c r="D431" s="1">
        <v>2</v>
      </c>
      <c r="E431" s="1">
        <v>0</v>
      </c>
      <c r="F431" s="1">
        <v>0</v>
      </c>
      <c r="G431" s="1">
        <v>2</v>
      </c>
      <c r="H431" s="1">
        <v>0</v>
      </c>
      <c r="I431" s="1">
        <v>2</v>
      </c>
      <c r="J431" s="1">
        <v>2</v>
      </c>
      <c r="K431" s="1">
        <v>0</v>
      </c>
      <c r="L431" s="1">
        <v>0</v>
      </c>
      <c r="M431" s="4">
        <v>0</v>
      </c>
      <c r="N431" s="1">
        <v>0</v>
      </c>
      <c r="O431" s="1">
        <v>0</v>
      </c>
      <c r="P431" s="1">
        <v>0</v>
      </c>
      <c r="Q431" s="1">
        <v>0</v>
      </c>
      <c r="R431" s="1">
        <v>1</v>
      </c>
      <c r="S431" s="1">
        <f t="shared" si="12"/>
        <v>16</v>
      </c>
      <c r="T431" s="1">
        <v>56561</v>
      </c>
      <c r="U431" s="5">
        <f t="shared" si="13"/>
        <v>0.000282880429978254</v>
      </c>
    </row>
    <row r="432" spans="1:21">
      <c r="A432" s="1" t="s">
        <v>452</v>
      </c>
      <c r="B432" s="1" t="s">
        <v>462</v>
      </c>
      <c r="C432" s="1" t="s">
        <v>41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4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f t="shared" si="12"/>
        <v>0</v>
      </c>
      <c r="T432" s="1">
        <v>25730</v>
      </c>
      <c r="U432" s="5">
        <f t="shared" si="13"/>
        <v>0</v>
      </c>
    </row>
    <row r="433" spans="1:21">
      <c r="A433" s="1" t="s">
        <v>452</v>
      </c>
      <c r="B433" s="1" t="s">
        <v>463</v>
      </c>
      <c r="C433" s="1" t="s">
        <v>41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4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f t="shared" si="12"/>
        <v>0</v>
      </c>
      <c r="T433" s="1">
        <v>40160</v>
      </c>
      <c r="U433" s="5">
        <f t="shared" si="13"/>
        <v>0</v>
      </c>
    </row>
    <row r="434" spans="1:21">
      <c r="A434" s="1" t="s">
        <v>464</v>
      </c>
      <c r="B434" s="1" t="s">
        <v>465</v>
      </c>
      <c r="C434" s="1" t="s">
        <v>30</v>
      </c>
      <c r="D434" s="1">
        <v>0</v>
      </c>
      <c r="E434" s="1">
        <v>0</v>
      </c>
      <c r="F434" s="1">
        <v>0</v>
      </c>
      <c r="G434" s="1">
        <v>0</v>
      </c>
      <c r="H434" s="1">
        <v>1</v>
      </c>
      <c r="I434" s="1">
        <v>2</v>
      </c>
      <c r="J434" s="1">
        <v>0</v>
      </c>
      <c r="K434" s="1">
        <v>0</v>
      </c>
      <c r="L434" s="1">
        <v>0</v>
      </c>
      <c r="M434" s="4">
        <v>0</v>
      </c>
      <c r="N434" s="1">
        <v>0</v>
      </c>
      <c r="O434" s="1">
        <v>0</v>
      </c>
      <c r="P434" s="1">
        <v>0</v>
      </c>
      <c r="Q434" s="1">
        <v>0</v>
      </c>
      <c r="R434" s="1">
        <v>1</v>
      </c>
      <c r="S434" s="1">
        <f t="shared" si="12"/>
        <v>8</v>
      </c>
      <c r="T434" s="1">
        <v>54971</v>
      </c>
      <c r="U434" s="5">
        <f t="shared" si="13"/>
        <v>0.000145531280129523</v>
      </c>
    </row>
    <row r="435" spans="1:21">
      <c r="A435" s="1" t="s">
        <v>464</v>
      </c>
      <c r="B435" s="1" t="s">
        <v>466</v>
      </c>
      <c r="C435" s="1" t="s">
        <v>33</v>
      </c>
      <c r="D435" s="1">
        <v>0</v>
      </c>
      <c r="E435" s="1">
        <v>0</v>
      </c>
      <c r="F435" s="1">
        <v>0</v>
      </c>
      <c r="G435" s="1">
        <v>0</v>
      </c>
      <c r="H435" s="1">
        <v>1</v>
      </c>
      <c r="I435" s="1">
        <v>8</v>
      </c>
      <c r="J435" s="1">
        <v>0</v>
      </c>
      <c r="K435" s="1">
        <v>0</v>
      </c>
      <c r="L435" s="1">
        <v>0</v>
      </c>
      <c r="M435" s="4">
        <v>0</v>
      </c>
      <c r="N435" s="1">
        <v>0</v>
      </c>
      <c r="O435" s="1">
        <v>0</v>
      </c>
      <c r="P435" s="1">
        <v>0</v>
      </c>
      <c r="Q435" s="1">
        <v>0</v>
      </c>
      <c r="R435" s="1">
        <v>1</v>
      </c>
      <c r="S435" s="1">
        <f t="shared" si="12"/>
        <v>20</v>
      </c>
      <c r="T435" s="1">
        <v>58313</v>
      </c>
      <c r="U435" s="5">
        <f t="shared" si="13"/>
        <v>0.000342976694733593</v>
      </c>
    </row>
    <row r="436" spans="1:21">
      <c r="A436" s="1" t="s">
        <v>464</v>
      </c>
      <c r="B436" s="1" t="s">
        <v>315</v>
      </c>
      <c r="C436" s="1" t="s">
        <v>24</v>
      </c>
      <c r="D436" s="1">
        <v>0</v>
      </c>
      <c r="E436" s="1">
        <v>0</v>
      </c>
      <c r="F436" s="1">
        <v>0</v>
      </c>
      <c r="G436" s="1">
        <v>0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4">
        <v>0</v>
      </c>
      <c r="N436" s="1">
        <v>0</v>
      </c>
      <c r="O436" s="1">
        <v>0</v>
      </c>
      <c r="P436" s="1">
        <v>0</v>
      </c>
      <c r="Q436" s="1">
        <v>0</v>
      </c>
      <c r="R436" s="1">
        <v>5</v>
      </c>
      <c r="S436" s="1">
        <f t="shared" si="12"/>
        <v>12</v>
      </c>
      <c r="T436" s="1">
        <v>47344</v>
      </c>
      <c r="U436" s="5">
        <f t="shared" si="13"/>
        <v>0.000253464008110848</v>
      </c>
    </row>
    <row r="437" spans="1:21">
      <c r="A437" s="1" t="s">
        <v>464</v>
      </c>
      <c r="B437" s="1" t="s">
        <v>316</v>
      </c>
      <c r="C437" s="1" t="s">
        <v>27</v>
      </c>
      <c r="D437" s="1">
        <v>0</v>
      </c>
      <c r="E437" s="1">
        <v>0</v>
      </c>
      <c r="F437" s="1">
        <v>0</v>
      </c>
      <c r="G437" s="1">
        <v>0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4">
        <v>0</v>
      </c>
      <c r="N437" s="1">
        <v>0</v>
      </c>
      <c r="O437" s="1">
        <v>0</v>
      </c>
      <c r="P437" s="1">
        <v>0</v>
      </c>
      <c r="Q437" s="1">
        <v>0</v>
      </c>
      <c r="R437" s="1">
        <v>4</v>
      </c>
      <c r="S437" s="1">
        <f t="shared" si="12"/>
        <v>10</v>
      </c>
      <c r="T437" s="1">
        <v>51466</v>
      </c>
      <c r="U437" s="5">
        <f t="shared" si="13"/>
        <v>0.000194303035013407</v>
      </c>
    </row>
    <row r="438" spans="1:21">
      <c r="A438" s="1" t="s">
        <v>464</v>
      </c>
      <c r="B438" s="1" t="s">
        <v>36</v>
      </c>
      <c r="C438" s="1" t="s">
        <v>36</v>
      </c>
      <c r="D438" s="1">
        <v>0</v>
      </c>
      <c r="E438" s="1">
        <v>0</v>
      </c>
      <c r="F438" s="1">
        <v>0</v>
      </c>
      <c r="G438" s="1">
        <v>0</v>
      </c>
      <c r="H438" s="1">
        <v>1</v>
      </c>
      <c r="I438" s="1">
        <v>6</v>
      </c>
      <c r="J438" s="1">
        <v>0</v>
      </c>
      <c r="K438" s="1">
        <v>0</v>
      </c>
      <c r="L438" s="1">
        <v>0</v>
      </c>
      <c r="M438" s="4">
        <v>0</v>
      </c>
      <c r="N438" s="1">
        <v>0</v>
      </c>
      <c r="O438" s="1">
        <v>0</v>
      </c>
      <c r="P438" s="1">
        <v>0</v>
      </c>
      <c r="Q438" s="1">
        <v>0</v>
      </c>
      <c r="R438" s="1">
        <v>1</v>
      </c>
      <c r="S438" s="1">
        <f t="shared" si="12"/>
        <v>16</v>
      </c>
      <c r="T438" s="1">
        <v>59414</v>
      </c>
      <c r="U438" s="5">
        <f t="shared" si="13"/>
        <v>0.000269296798734305</v>
      </c>
    </row>
    <row r="439" spans="1:21">
      <c r="A439" s="1" t="s">
        <v>467</v>
      </c>
      <c r="B439" s="1" t="s">
        <v>468</v>
      </c>
      <c r="C439" s="1" t="s">
        <v>22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4">
        <v>0</v>
      </c>
      <c r="N439" s="1">
        <v>0</v>
      </c>
      <c r="O439" s="1">
        <v>0</v>
      </c>
      <c r="P439" s="1">
        <v>0</v>
      </c>
      <c r="Q439" s="1">
        <v>0</v>
      </c>
      <c r="R439" s="1">
        <v>1</v>
      </c>
      <c r="S439" s="1">
        <f t="shared" si="12"/>
        <v>2</v>
      </c>
      <c r="T439" s="1">
        <v>30555</v>
      </c>
      <c r="U439" s="5">
        <f t="shared" si="13"/>
        <v>6.54557355588283e-5</v>
      </c>
    </row>
    <row r="440" spans="1:21">
      <c r="A440" s="1" t="s">
        <v>467</v>
      </c>
      <c r="B440" s="1" t="s">
        <v>469</v>
      </c>
      <c r="C440" s="1" t="s">
        <v>24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4">
        <v>0</v>
      </c>
      <c r="N440" s="1">
        <v>0</v>
      </c>
      <c r="O440" s="1">
        <v>0</v>
      </c>
      <c r="P440" s="1">
        <v>0</v>
      </c>
      <c r="Q440" s="1">
        <v>0</v>
      </c>
      <c r="R440" s="1">
        <v>1</v>
      </c>
      <c r="S440" s="1">
        <f t="shared" si="12"/>
        <v>2</v>
      </c>
      <c r="T440" s="1">
        <v>28130</v>
      </c>
      <c r="U440" s="5">
        <f t="shared" si="13"/>
        <v>7.10984713828653e-5</v>
      </c>
    </row>
    <row r="441" spans="1:21">
      <c r="A441" s="1" t="s">
        <v>467</v>
      </c>
      <c r="B441" s="1" t="s">
        <v>423</v>
      </c>
      <c r="C441" s="1" t="s">
        <v>27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4">
        <v>0</v>
      </c>
      <c r="N441" s="1">
        <v>0</v>
      </c>
      <c r="O441" s="1">
        <v>0</v>
      </c>
      <c r="P441" s="1">
        <v>0</v>
      </c>
      <c r="Q441" s="1">
        <v>0</v>
      </c>
      <c r="R441" s="1">
        <v>1</v>
      </c>
      <c r="S441" s="1">
        <f t="shared" si="12"/>
        <v>2</v>
      </c>
      <c r="T441" s="1">
        <v>30604</v>
      </c>
      <c r="U441" s="5">
        <f t="shared" si="13"/>
        <v>6.53509345183636e-5</v>
      </c>
    </row>
    <row r="442" spans="1:21">
      <c r="A442" s="1" t="s">
        <v>467</v>
      </c>
      <c r="B442" s="1" t="s">
        <v>470</v>
      </c>
      <c r="C442" s="1" t="s">
        <v>30</v>
      </c>
      <c r="D442" s="1">
        <v>1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4">
        <v>0</v>
      </c>
      <c r="N442" s="1">
        <v>0</v>
      </c>
      <c r="O442" s="1">
        <v>0</v>
      </c>
      <c r="P442" s="1">
        <v>0</v>
      </c>
      <c r="Q442" s="1">
        <v>0</v>
      </c>
      <c r="R442" s="1">
        <v>1</v>
      </c>
      <c r="S442" s="1">
        <f t="shared" si="12"/>
        <v>4</v>
      </c>
      <c r="T442" s="1">
        <v>39000</v>
      </c>
      <c r="U442" s="5">
        <f t="shared" si="13"/>
        <v>0.000102564102564103</v>
      </c>
    </row>
    <row r="443" spans="1:21">
      <c r="A443" s="1" t="s">
        <v>467</v>
      </c>
      <c r="B443" s="1" t="s">
        <v>471</v>
      </c>
      <c r="C443" s="1" t="s">
        <v>33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4">
        <v>0</v>
      </c>
      <c r="N443" s="1">
        <v>0</v>
      </c>
      <c r="O443" s="1">
        <v>0</v>
      </c>
      <c r="P443" s="1">
        <v>0</v>
      </c>
      <c r="Q443" s="1">
        <v>0</v>
      </c>
      <c r="R443" s="1">
        <v>1</v>
      </c>
      <c r="S443" s="1">
        <f t="shared" si="12"/>
        <v>2</v>
      </c>
      <c r="T443" s="1">
        <v>43024</v>
      </c>
      <c r="U443" s="5">
        <f t="shared" si="13"/>
        <v>4.64856824098178e-5</v>
      </c>
    </row>
    <row r="444" spans="1:21">
      <c r="A444" s="1" t="s">
        <v>467</v>
      </c>
      <c r="B444" s="1" t="s">
        <v>472</v>
      </c>
      <c r="C444" s="1" t="s">
        <v>36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4">
        <v>0</v>
      </c>
      <c r="N444" s="1">
        <v>0</v>
      </c>
      <c r="O444" s="1">
        <v>0</v>
      </c>
      <c r="P444" s="1">
        <v>0</v>
      </c>
      <c r="Q444" s="1">
        <v>0</v>
      </c>
      <c r="R444" s="1">
        <v>1</v>
      </c>
      <c r="S444" s="1">
        <f t="shared" si="12"/>
        <v>2</v>
      </c>
      <c r="T444" s="1">
        <v>51007</v>
      </c>
      <c r="U444" s="5">
        <f t="shared" si="13"/>
        <v>3.92103044680142e-5</v>
      </c>
    </row>
    <row r="445" spans="1:21">
      <c r="A445" s="1" t="s">
        <v>473</v>
      </c>
      <c r="B445" s="1" t="s">
        <v>474</v>
      </c>
      <c r="C445" s="1" t="s">
        <v>27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4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f t="shared" si="12"/>
        <v>0</v>
      </c>
      <c r="T445" s="1">
        <v>21423</v>
      </c>
      <c r="U445" s="5">
        <f t="shared" si="13"/>
        <v>0</v>
      </c>
    </row>
    <row r="446" spans="1:21">
      <c r="A446" s="1" t="s">
        <v>473</v>
      </c>
      <c r="B446" s="1" t="s">
        <v>475</v>
      </c>
      <c r="C446" s="1" t="s">
        <v>30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4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f t="shared" si="12"/>
        <v>0</v>
      </c>
      <c r="T446" s="1">
        <v>4386</v>
      </c>
      <c r="U446" s="5">
        <f t="shared" si="13"/>
        <v>0</v>
      </c>
    </row>
    <row r="447" spans="1:21">
      <c r="A447" s="1" t="s">
        <v>473</v>
      </c>
      <c r="B447" s="1" t="s">
        <v>476</v>
      </c>
      <c r="C447" s="1" t="s">
        <v>33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4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f t="shared" si="12"/>
        <v>0</v>
      </c>
      <c r="T447" s="1">
        <v>1173</v>
      </c>
      <c r="U447" s="5">
        <f t="shared" si="13"/>
        <v>0</v>
      </c>
    </row>
    <row r="448" spans="1:21">
      <c r="A448" s="1" t="s">
        <v>473</v>
      </c>
      <c r="B448" s="1" t="s">
        <v>477</v>
      </c>
      <c r="C448" s="1" t="s">
        <v>36</v>
      </c>
      <c r="D448" s="1">
        <v>0</v>
      </c>
      <c r="E448" s="1">
        <v>0</v>
      </c>
      <c r="F448" s="1">
        <v>0</v>
      </c>
      <c r="G448" s="1">
        <v>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4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f t="shared" si="12"/>
        <v>1</v>
      </c>
      <c r="T448" s="1">
        <v>44492</v>
      </c>
      <c r="U448" s="5">
        <f t="shared" si="13"/>
        <v>2.2475950732716e-5</v>
      </c>
    </row>
    <row r="449" spans="1:21">
      <c r="A449" s="1" t="s">
        <v>473</v>
      </c>
      <c r="B449" s="1" t="s">
        <v>478</v>
      </c>
      <c r="C449" s="1" t="s">
        <v>30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4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f t="shared" si="12"/>
        <v>0</v>
      </c>
      <c r="T449" s="1">
        <v>39482</v>
      </c>
      <c r="U449" s="5">
        <f t="shared" si="13"/>
        <v>0</v>
      </c>
    </row>
    <row r="450" spans="1:21">
      <c r="A450" s="1" t="s">
        <v>479</v>
      </c>
      <c r="B450" s="1" t="s">
        <v>43</v>
      </c>
      <c r="C450" s="1" t="s">
        <v>43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4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f t="shared" ref="S450:S513" si="14">D450*2+E450*2+F450*2+G450*1+H450*2+I450*2+J450*2+K450*2+L450*2+M450*2+N450*2+O450*2+P450*2+Q450*2+R450*2</f>
        <v>0</v>
      </c>
      <c r="T450" s="1">
        <v>25132</v>
      </c>
      <c r="U450" s="5">
        <f t="shared" ref="U450:U513" si="15">S450/T450</f>
        <v>0</v>
      </c>
    </row>
    <row r="451" spans="1:21">
      <c r="A451" s="1" t="s">
        <v>479</v>
      </c>
      <c r="B451" s="1" t="s">
        <v>480</v>
      </c>
      <c r="C451" s="1" t="s">
        <v>22</v>
      </c>
      <c r="D451" s="1">
        <v>1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4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f t="shared" si="14"/>
        <v>2</v>
      </c>
      <c r="T451" s="1">
        <v>27856</v>
      </c>
      <c r="U451" s="5">
        <f t="shared" si="15"/>
        <v>7.17978173463527e-5</v>
      </c>
    </row>
    <row r="452" spans="1:21">
      <c r="A452" s="1" t="s">
        <v>479</v>
      </c>
      <c r="B452" s="1" t="s">
        <v>481</v>
      </c>
      <c r="C452" s="1" t="s">
        <v>24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4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f t="shared" si="14"/>
        <v>0</v>
      </c>
      <c r="T452" s="1">
        <v>29018</v>
      </c>
      <c r="U452" s="5">
        <f t="shared" si="15"/>
        <v>0</v>
      </c>
    </row>
    <row r="453" spans="1:21">
      <c r="A453" s="1" t="s">
        <v>479</v>
      </c>
      <c r="B453" s="1" t="s">
        <v>482</v>
      </c>
      <c r="C453" s="1" t="s">
        <v>27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4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f t="shared" si="14"/>
        <v>0</v>
      </c>
      <c r="T453" s="1">
        <v>30431</v>
      </c>
      <c r="U453" s="5">
        <f t="shared" si="15"/>
        <v>0</v>
      </c>
    </row>
    <row r="454" spans="1:21">
      <c r="A454" s="1" t="s">
        <v>479</v>
      </c>
      <c r="B454" s="1" t="s">
        <v>483</v>
      </c>
      <c r="C454" s="1" t="s">
        <v>30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4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f t="shared" si="14"/>
        <v>0</v>
      </c>
      <c r="T454" s="1">
        <v>32806</v>
      </c>
      <c r="U454" s="5">
        <f t="shared" si="15"/>
        <v>0</v>
      </c>
    </row>
    <row r="455" spans="1:21">
      <c r="A455" s="1" t="s">
        <v>479</v>
      </c>
      <c r="B455" s="1" t="s">
        <v>484</v>
      </c>
      <c r="C455" s="1" t="s">
        <v>33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4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f t="shared" si="14"/>
        <v>0</v>
      </c>
      <c r="T455" s="1">
        <v>35287</v>
      </c>
      <c r="U455" s="5">
        <f t="shared" si="15"/>
        <v>0</v>
      </c>
    </row>
    <row r="456" spans="1:21">
      <c r="A456" s="1" t="s">
        <v>479</v>
      </c>
      <c r="B456" s="1" t="s">
        <v>485</v>
      </c>
      <c r="C456" s="1" t="s">
        <v>36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4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f t="shared" si="14"/>
        <v>0</v>
      </c>
      <c r="T456" s="1">
        <v>39194</v>
      </c>
      <c r="U456" s="5">
        <f t="shared" si="15"/>
        <v>0</v>
      </c>
    </row>
    <row r="457" spans="1:21">
      <c r="A457" s="1" t="s">
        <v>479</v>
      </c>
      <c r="B457" s="1" t="s">
        <v>486</v>
      </c>
      <c r="C457" s="1" t="s">
        <v>47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4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f t="shared" si="14"/>
        <v>0</v>
      </c>
      <c r="T457" s="1">
        <v>26214</v>
      </c>
      <c r="U457" s="5">
        <f t="shared" si="15"/>
        <v>0</v>
      </c>
    </row>
    <row r="458" spans="1:21">
      <c r="A458" s="1" t="s">
        <v>479</v>
      </c>
      <c r="B458" s="1" t="s">
        <v>487</v>
      </c>
      <c r="C458" s="1" t="s">
        <v>41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4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f t="shared" si="14"/>
        <v>0</v>
      </c>
      <c r="T458" s="1">
        <v>24402</v>
      </c>
      <c r="U458" s="5">
        <f t="shared" si="15"/>
        <v>0</v>
      </c>
    </row>
    <row r="459" spans="1:21">
      <c r="A459" s="1" t="s">
        <v>479</v>
      </c>
      <c r="B459" s="1" t="s">
        <v>488</v>
      </c>
      <c r="C459" s="1" t="s">
        <v>45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4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f t="shared" si="14"/>
        <v>2</v>
      </c>
      <c r="T459" s="1">
        <v>24163</v>
      </c>
      <c r="U459" s="5">
        <f t="shared" si="15"/>
        <v>8.27711790754459e-5</v>
      </c>
    </row>
    <row r="460" spans="1:21">
      <c r="A460" s="1" t="s">
        <v>489</v>
      </c>
      <c r="B460" s="1" t="s">
        <v>490</v>
      </c>
      <c r="C460" s="1" t="s">
        <v>24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4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f t="shared" si="14"/>
        <v>0</v>
      </c>
      <c r="T460" s="1">
        <v>41959</v>
      </c>
      <c r="U460" s="5">
        <f t="shared" si="15"/>
        <v>0</v>
      </c>
    </row>
    <row r="461" spans="1:21">
      <c r="A461" s="1" t="s">
        <v>489</v>
      </c>
      <c r="B461" s="1" t="s">
        <v>491</v>
      </c>
      <c r="C461" s="1" t="s">
        <v>27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4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f t="shared" si="14"/>
        <v>0</v>
      </c>
      <c r="T461" s="1">
        <v>43165</v>
      </c>
      <c r="U461" s="5">
        <f t="shared" si="15"/>
        <v>0</v>
      </c>
    </row>
    <row r="462" spans="1:21">
      <c r="A462" s="1" t="s">
        <v>489</v>
      </c>
      <c r="B462" s="1" t="s">
        <v>492</v>
      </c>
      <c r="C462" s="1" t="s">
        <v>30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4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f t="shared" si="14"/>
        <v>0</v>
      </c>
      <c r="T462" s="1">
        <v>47037</v>
      </c>
      <c r="U462" s="5">
        <f t="shared" si="15"/>
        <v>0</v>
      </c>
    </row>
    <row r="463" spans="1:21">
      <c r="A463" s="1" t="s">
        <v>489</v>
      </c>
      <c r="B463" s="1" t="s">
        <v>493</v>
      </c>
      <c r="C463" s="1" t="s">
        <v>33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4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f t="shared" si="14"/>
        <v>0</v>
      </c>
      <c r="T463" s="1">
        <v>48822</v>
      </c>
      <c r="U463" s="5">
        <f t="shared" si="15"/>
        <v>0</v>
      </c>
    </row>
    <row r="464" spans="1:21">
      <c r="A464" s="1" t="s">
        <v>489</v>
      </c>
      <c r="B464" s="1" t="s">
        <v>494</v>
      </c>
      <c r="C464" s="1" t="s">
        <v>36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4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f t="shared" si="14"/>
        <v>0</v>
      </c>
      <c r="T464" s="1">
        <v>58533</v>
      </c>
      <c r="U464" s="5">
        <f t="shared" si="15"/>
        <v>0</v>
      </c>
    </row>
    <row r="465" spans="1:21">
      <c r="A465" s="1" t="s">
        <v>489</v>
      </c>
      <c r="B465" s="1" t="s">
        <v>495</v>
      </c>
      <c r="C465" s="1" t="s">
        <v>43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4">
        <v>1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f t="shared" si="14"/>
        <v>2</v>
      </c>
      <c r="T465" s="1">
        <v>43501</v>
      </c>
      <c r="U465" s="5">
        <f t="shared" si="15"/>
        <v>4.59759545757569e-5</v>
      </c>
    </row>
    <row r="466" spans="1:21">
      <c r="A466" s="1" t="s">
        <v>489</v>
      </c>
      <c r="B466" s="1" t="s">
        <v>496</v>
      </c>
      <c r="C466" s="1" t="s">
        <v>45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4">
        <v>1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f t="shared" si="14"/>
        <v>2</v>
      </c>
      <c r="T466" s="1">
        <v>46686</v>
      </c>
      <c r="U466" s="5">
        <f t="shared" si="15"/>
        <v>4.28393951077411e-5</v>
      </c>
    </row>
    <row r="467" spans="1:21">
      <c r="A467" s="1" t="s">
        <v>489</v>
      </c>
      <c r="B467" s="1" t="s">
        <v>497</v>
      </c>
      <c r="C467" s="1" t="s">
        <v>47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4">
        <v>1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f t="shared" si="14"/>
        <v>2</v>
      </c>
      <c r="T467" s="1">
        <v>45097</v>
      </c>
      <c r="U467" s="5">
        <f t="shared" si="15"/>
        <v>4.43488480386722e-5</v>
      </c>
    </row>
    <row r="468" spans="1:21">
      <c r="A468" s="1" t="s">
        <v>489</v>
      </c>
      <c r="B468" s="1" t="s">
        <v>498</v>
      </c>
      <c r="C468" s="1" t="s">
        <v>22</v>
      </c>
      <c r="D468" s="1">
        <v>0</v>
      </c>
      <c r="E468" s="1">
        <v>1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4">
        <v>1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f t="shared" si="14"/>
        <v>4</v>
      </c>
      <c r="T468" s="1">
        <v>44679</v>
      </c>
      <c r="U468" s="5">
        <f t="shared" si="15"/>
        <v>8.95275185210054e-5</v>
      </c>
    </row>
    <row r="469" spans="1:21">
      <c r="A469" s="1" t="s">
        <v>499</v>
      </c>
      <c r="B469" s="1" t="s">
        <v>500</v>
      </c>
      <c r="C469" s="1" t="s">
        <v>41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4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f t="shared" si="14"/>
        <v>0</v>
      </c>
      <c r="T469" s="1">
        <v>26196</v>
      </c>
      <c r="U469" s="5">
        <f t="shared" si="15"/>
        <v>0</v>
      </c>
    </row>
    <row r="470" spans="1:21">
      <c r="A470" s="1" t="s">
        <v>499</v>
      </c>
      <c r="B470" s="1" t="s">
        <v>501</v>
      </c>
      <c r="C470" s="1" t="s">
        <v>43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4</v>
      </c>
      <c r="L470" s="1">
        <v>0</v>
      </c>
      <c r="M470" s="4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f t="shared" si="14"/>
        <v>8</v>
      </c>
      <c r="T470" s="1">
        <v>26747</v>
      </c>
      <c r="U470" s="5">
        <f t="shared" si="15"/>
        <v>0.000299098964369836</v>
      </c>
    </row>
    <row r="471" spans="1:21">
      <c r="A471" s="1" t="s">
        <v>499</v>
      </c>
      <c r="B471" s="1" t="s">
        <v>502</v>
      </c>
      <c r="C471" s="1" t="s">
        <v>45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4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f t="shared" si="14"/>
        <v>0</v>
      </c>
      <c r="T471" s="1">
        <v>32669</v>
      </c>
      <c r="U471" s="5">
        <f t="shared" si="15"/>
        <v>0</v>
      </c>
    </row>
    <row r="472" spans="1:21">
      <c r="A472" s="1" t="s">
        <v>499</v>
      </c>
      <c r="B472" s="1" t="s">
        <v>503</v>
      </c>
      <c r="C472" s="1" t="s">
        <v>47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4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f t="shared" si="14"/>
        <v>0</v>
      </c>
      <c r="T472" s="1">
        <v>31155</v>
      </c>
      <c r="U472" s="5">
        <f t="shared" si="15"/>
        <v>0</v>
      </c>
    </row>
    <row r="473" spans="1:21">
      <c r="A473" s="1" t="s">
        <v>499</v>
      </c>
      <c r="B473" s="1" t="s">
        <v>504</v>
      </c>
      <c r="C473" s="1" t="s">
        <v>22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4">
        <v>0</v>
      </c>
      <c r="N473" s="1">
        <v>0</v>
      </c>
      <c r="O473" s="1">
        <v>0</v>
      </c>
      <c r="P473" s="1">
        <v>0</v>
      </c>
      <c r="Q473" s="1">
        <v>0</v>
      </c>
      <c r="R473" s="1">
        <v>1</v>
      </c>
      <c r="S473" s="1">
        <f t="shared" si="14"/>
        <v>2</v>
      </c>
      <c r="T473" s="1">
        <v>29717</v>
      </c>
      <c r="U473" s="5">
        <f t="shared" si="15"/>
        <v>6.73015445704479e-5</v>
      </c>
    </row>
    <row r="474" spans="1:21">
      <c r="A474" s="1" t="s">
        <v>499</v>
      </c>
      <c r="B474" s="1" t="s">
        <v>505</v>
      </c>
      <c r="C474" s="1">
        <v>2019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4">
        <v>0</v>
      </c>
      <c r="N474" s="1">
        <v>0</v>
      </c>
      <c r="O474" s="1">
        <v>0</v>
      </c>
      <c r="P474" s="1">
        <v>0</v>
      </c>
      <c r="Q474" s="1">
        <v>0</v>
      </c>
      <c r="R474" s="1">
        <v>1</v>
      </c>
      <c r="S474" s="1">
        <f t="shared" si="14"/>
        <v>2</v>
      </c>
      <c r="T474" s="1">
        <v>25565</v>
      </c>
      <c r="U474" s="5">
        <f t="shared" si="15"/>
        <v>7.82319577547428e-5</v>
      </c>
    </row>
    <row r="475" spans="1:21">
      <c r="A475" s="1" t="s">
        <v>499</v>
      </c>
      <c r="B475" s="1" t="s">
        <v>506</v>
      </c>
      <c r="C475" s="1" t="s">
        <v>27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1</v>
      </c>
      <c r="K475" s="1">
        <v>0</v>
      </c>
      <c r="L475" s="1">
        <v>0</v>
      </c>
      <c r="M475" s="4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f t="shared" si="14"/>
        <v>2</v>
      </c>
      <c r="T475" s="1">
        <v>27793</v>
      </c>
      <c r="U475" s="5">
        <f t="shared" si="15"/>
        <v>7.19605656100457e-5</v>
      </c>
    </row>
    <row r="476" spans="1:21">
      <c r="A476" s="1" t="s">
        <v>499</v>
      </c>
      <c r="B476" s="1" t="s">
        <v>507</v>
      </c>
      <c r="C476" s="1" t="s">
        <v>30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4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f t="shared" si="14"/>
        <v>0</v>
      </c>
      <c r="T476" s="1">
        <v>25414</v>
      </c>
      <c r="U476" s="5">
        <f t="shared" si="15"/>
        <v>0</v>
      </c>
    </row>
    <row r="477" spans="1:21">
      <c r="A477" s="1" t="s">
        <v>499</v>
      </c>
      <c r="B477" s="1" t="s">
        <v>508</v>
      </c>
      <c r="C477" s="1" t="s">
        <v>33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4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f t="shared" si="14"/>
        <v>0</v>
      </c>
      <c r="T477" s="1">
        <v>25262</v>
      </c>
      <c r="U477" s="5">
        <f t="shared" si="15"/>
        <v>0</v>
      </c>
    </row>
    <row r="478" spans="1:21">
      <c r="A478" s="1" t="s">
        <v>499</v>
      </c>
      <c r="B478" s="1" t="s">
        <v>509</v>
      </c>
      <c r="C478" s="1">
        <v>2023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1</v>
      </c>
      <c r="L478" s="1">
        <v>0</v>
      </c>
      <c r="M478" s="4">
        <v>0</v>
      </c>
      <c r="N478" s="1">
        <v>0</v>
      </c>
      <c r="O478" s="1">
        <v>0</v>
      </c>
      <c r="P478" s="1">
        <v>0</v>
      </c>
      <c r="Q478" s="1">
        <v>0</v>
      </c>
      <c r="R478" s="1">
        <v>1</v>
      </c>
      <c r="S478" s="1">
        <f t="shared" si="14"/>
        <v>4</v>
      </c>
      <c r="T478" s="1">
        <v>32603</v>
      </c>
      <c r="U478" s="5">
        <f t="shared" si="15"/>
        <v>0.000122688096187467</v>
      </c>
    </row>
    <row r="479" spans="1:21">
      <c r="A479" s="1" t="s">
        <v>510</v>
      </c>
      <c r="B479" s="1" t="s">
        <v>511</v>
      </c>
      <c r="C479" s="1" t="s">
        <v>41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4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f t="shared" si="14"/>
        <v>0</v>
      </c>
      <c r="T479" s="1">
        <v>12180</v>
      </c>
      <c r="U479" s="5">
        <f t="shared" si="15"/>
        <v>0</v>
      </c>
    </row>
    <row r="480" spans="1:21">
      <c r="A480" s="1" t="s">
        <v>510</v>
      </c>
      <c r="B480" s="1" t="s">
        <v>512</v>
      </c>
      <c r="C480" s="1" t="s">
        <v>43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4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f t="shared" si="14"/>
        <v>0</v>
      </c>
      <c r="T480" s="1">
        <v>11972</v>
      </c>
      <c r="U480" s="5">
        <f t="shared" si="15"/>
        <v>0</v>
      </c>
    </row>
    <row r="481" spans="1:21">
      <c r="A481" s="1" t="s">
        <v>510</v>
      </c>
      <c r="B481" s="1" t="s">
        <v>513</v>
      </c>
      <c r="C481" s="1" t="s">
        <v>45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4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f t="shared" si="14"/>
        <v>0</v>
      </c>
      <c r="T481" s="1">
        <v>11212</v>
      </c>
      <c r="U481" s="5">
        <f t="shared" si="15"/>
        <v>0</v>
      </c>
    </row>
    <row r="482" spans="1:21">
      <c r="A482" s="1" t="s">
        <v>510</v>
      </c>
      <c r="B482" s="1" t="s">
        <v>514</v>
      </c>
      <c r="C482" s="1" t="s">
        <v>47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4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f t="shared" si="14"/>
        <v>1</v>
      </c>
      <c r="T482" s="1">
        <v>14899</v>
      </c>
      <c r="U482" s="5">
        <f t="shared" si="15"/>
        <v>6.7118598563662e-5</v>
      </c>
    </row>
    <row r="483" spans="1:21">
      <c r="A483" s="1" t="s">
        <v>510</v>
      </c>
      <c r="B483" s="1" t="s">
        <v>515</v>
      </c>
      <c r="C483" s="1" t="s">
        <v>22</v>
      </c>
      <c r="D483" s="1">
        <v>0</v>
      </c>
      <c r="E483" s="1">
        <v>0</v>
      </c>
      <c r="F483" s="1">
        <v>0</v>
      </c>
      <c r="G483" s="1">
        <v>1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4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f t="shared" si="14"/>
        <v>1</v>
      </c>
      <c r="T483" s="1">
        <v>14073</v>
      </c>
      <c r="U483" s="5">
        <f t="shared" si="15"/>
        <v>7.10580544304697e-5</v>
      </c>
    </row>
    <row r="484" spans="1:21">
      <c r="A484" s="1" t="s">
        <v>510</v>
      </c>
      <c r="B484" s="1" t="s">
        <v>516</v>
      </c>
      <c r="C484" s="1" t="s">
        <v>24</v>
      </c>
      <c r="D484" s="1">
        <v>4</v>
      </c>
      <c r="E484" s="1">
        <v>2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1</v>
      </c>
      <c r="L484" s="1">
        <v>0</v>
      </c>
      <c r="M484" s="4">
        <v>0</v>
      </c>
      <c r="N484" s="1">
        <v>0</v>
      </c>
      <c r="O484" s="1">
        <v>0</v>
      </c>
      <c r="P484" s="1">
        <v>1</v>
      </c>
      <c r="Q484" s="1">
        <v>0</v>
      </c>
      <c r="R484" s="1">
        <v>0</v>
      </c>
      <c r="S484" s="1">
        <f t="shared" si="14"/>
        <v>17</v>
      </c>
      <c r="T484" s="1">
        <v>16458</v>
      </c>
      <c r="U484" s="5">
        <f t="shared" si="15"/>
        <v>0.00103293231255317</v>
      </c>
    </row>
    <row r="485" spans="1:21">
      <c r="A485" s="1" t="s">
        <v>510</v>
      </c>
      <c r="B485" s="1" t="s">
        <v>517</v>
      </c>
      <c r="C485" s="1" t="s">
        <v>27</v>
      </c>
      <c r="D485" s="1">
        <v>2</v>
      </c>
      <c r="E485" s="1">
        <v>0</v>
      </c>
      <c r="F485" s="1">
        <v>0</v>
      </c>
      <c r="G485" s="1">
        <v>2</v>
      </c>
      <c r="H485" s="1">
        <v>0</v>
      </c>
      <c r="I485" s="1">
        <v>1</v>
      </c>
      <c r="J485" s="1">
        <v>1</v>
      </c>
      <c r="K485" s="1">
        <v>0</v>
      </c>
      <c r="L485" s="1">
        <v>0</v>
      </c>
      <c r="M485" s="4">
        <v>0</v>
      </c>
      <c r="N485" s="1">
        <v>0</v>
      </c>
      <c r="O485" s="1">
        <v>0</v>
      </c>
      <c r="P485" s="1">
        <v>1</v>
      </c>
      <c r="Q485" s="1">
        <v>0</v>
      </c>
      <c r="R485" s="1">
        <v>1</v>
      </c>
      <c r="S485" s="1">
        <f t="shared" si="14"/>
        <v>14</v>
      </c>
      <c r="T485" s="1">
        <v>16786</v>
      </c>
      <c r="U485" s="5">
        <f t="shared" si="15"/>
        <v>0.000834028356964137</v>
      </c>
    </row>
    <row r="486" spans="1:21">
      <c r="A486" s="1" t="s">
        <v>510</v>
      </c>
      <c r="B486" s="1" t="s">
        <v>518</v>
      </c>
      <c r="C486" s="1" t="s">
        <v>30</v>
      </c>
      <c r="D486" s="1">
        <v>2</v>
      </c>
      <c r="E486" s="1">
        <v>0</v>
      </c>
      <c r="F486" s="1">
        <v>0</v>
      </c>
      <c r="G486" s="1">
        <v>5</v>
      </c>
      <c r="H486" s="1">
        <v>0</v>
      </c>
      <c r="I486" s="1">
        <v>1</v>
      </c>
      <c r="J486" s="1">
        <v>0</v>
      </c>
      <c r="K486" s="1">
        <v>0</v>
      </c>
      <c r="L486" s="1">
        <v>0</v>
      </c>
      <c r="M486" s="4">
        <v>0</v>
      </c>
      <c r="N486" s="1">
        <v>0</v>
      </c>
      <c r="O486" s="1">
        <v>0</v>
      </c>
      <c r="P486" s="1">
        <v>1</v>
      </c>
      <c r="Q486" s="1">
        <v>0</v>
      </c>
      <c r="R486" s="1">
        <v>1</v>
      </c>
      <c r="S486" s="1">
        <f t="shared" si="14"/>
        <v>15</v>
      </c>
      <c r="T486" s="1">
        <v>16946</v>
      </c>
      <c r="U486" s="5">
        <f t="shared" si="15"/>
        <v>0.000885164640623156</v>
      </c>
    </row>
    <row r="487" spans="1:21">
      <c r="A487" s="1" t="s">
        <v>510</v>
      </c>
      <c r="B487" s="1" t="s">
        <v>519</v>
      </c>
      <c r="C487" s="1" t="s">
        <v>33</v>
      </c>
      <c r="D487" s="1">
        <v>3</v>
      </c>
      <c r="E487" s="1">
        <v>0</v>
      </c>
      <c r="F487" s="1">
        <v>0</v>
      </c>
      <c r="G487" s="1">
        <v>4</v>
      </c>
      <c r="H487" s="1">
        <v>0</v>
      </c>
      <c r="I487" s="1">
        <v>4</v>
      </c>
      <c r="J487" s="1">
        <v>0</v>
      </c>
      <c r="K487" s="1">
        <v>0</v>
      </c>
      <c r="L487" s="1">
        <v>0</v>
      </c>
      <c r="M487" s="4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f t="shared" si="14"/>
        <v>18</v>
      </c>
      <c r="T487" s="1">
        <v>17445</v>
      </c>
      <c r="U487" s="5">
        <f t="shared" si="15"/>
        <v>0.00103181427343078</v>
      </c>
    </row>
    <row r="488" spans="1:21">
      <c r="A488" s="1" t="s">
        <v>510</v>
      </c>
      <c r="B488" s="1" t="s">
        <v>520</v>
      </c>
      <c r="C488" s="1" t="s">
        <v>36</v>
      </c>
      <c r="D488" s="1">
        <v>1</v>
      </c>
      <c r="E488" s="1">
        <v>1</v>
      </c>
      <c r="F488" s="1">
        <v>0</v>
      </c>
      <c r="G488" s="1">
        <v>6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4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f t="shared" si="14"/>
        <v>10</v>
      </c>
      <c r="T488" s="1">
        <v>12880</v>
      </c>
      <c r="U488" s="5">
        <f t="shared" si="15"/>
        <v>0.00077639751552795</v>
      </c>
    </row>
    <row r="489" spans="1:21">
      <c r="A489" s="1" t="s">
        <v>521</v>
      </c>
      <c r="B489" s="1" t="s">
        <v>522</v>
      </c>
      <c r="C489" s="1" t="s">
        <v>41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4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f t="shared" si="14"/>
        <v>0</v>
      </c>
      <c r="T489" s="1">
        <v>37743</v>
      </c>
      <c r="U489" s="5">
        <f t="shared" si="15"/>
        <v>0</v>
      </c>
    </row>
    <row r="490" spans="1:21">
      <c r="A490" s="1" t="s">
        <v>521</v>
      </c>
      <c r="B490" s="1" t="s">
        <v>523</v>
      </c>
      <c r="C490" s="1" t="s">
        <v>43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4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f t="shared" si="14"/>
        <v>0</v>
      </c>
      <c r="T490" s="1">
        <v>37231</v>
      </c>
      <c r="U490" s="5">
        <f t="shared" si="15"/>
        <v>0</v>
      </c>
    </row>
    <row r="491" spans="1:21">
      <c r="A491" s="1" t="s">
        <v>521</v>
      </c>
      <c r="B491" s="1" t="s">
        <v>524</v>
      </c>
      <c r="C491" s="1" t="s">
        <v>45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4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f t="shared" si="14"/>
        <v>0</v>
      </c>
      <c r="T491" s="1">
        <v>44739</v>
      </c>
      <c r="U491" s="5">
        <f t="shared" si="15"/>
        <v>0</v>
      </c>
    </row>
    <row r="492" spans="1:21">
      <c r="A492" s="1" t="s">
        <v>521</v>
      </c>
      <c r="B492" s="1" t="s">
        <v>525</v>
      </c>
      <c r="C492" s="1" t="s">
        <v>47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4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f t="shared" si="14"/>
        <v>0</v>
      </c>
      <c r="T492" s="1">
        <v>45283</v>
      </c>
      <c r="U492" s="5">
        <f t="shared" si="15"/>
        <v>0</v>
      </c>
    </row>
    <row r="493" spans="1:21">
      <c r="A493" s="1" t="s">
        <v>521</v>
      </c>
      <c r="B493" s="1" t="s">
        <v>526</v>
      </c>
      <c r="C493" s="1" t="s">
        <v>22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4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f t="shared" si="14"/>
        <v>0</v>
      </c>
      <c r="T493" s="1">
        <v>50567</v>
      </c>
      <c r="U493" s="5">
        <f t="shared" si="15"/>
        <v>0</v>
      </c>
    </row>
    <row r="494" spans="1:21">
      <c r="A494" s="1" t="s">
        <v>521</v>
      </c>
      <c r="B494" s="1" t="s">
        <v>527</v>
      </c>
      <c r="C494" s="1" t="s">
        <v>24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4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f t="shared" si="14"/>
        <v>0</v>
      </c>
      <c r="T494" s="1">
        <v>54765</v>
      </c>
      <c r="U494" s="5">
        <f t="shared" si="15"/>
        <v>0</v>
      </c>
    </row>
    <row r="495" spans="1:21">
      <c r="A495" s="1" t="s">
        <v>521</v>
      </c>
      <c r="B495" s="1" t="s">
        <v>528</v>
      </c>
      <c r="C495" s="1" t="s">
        <v>27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4">
        <v>0</v>
      </c>
      <c r="N495" s="1">
        <v>0</v>
      </c>
      <c r="O495" s="1">
        <v>0</v>
      </c>
      <c r="P495" s="1">
        <v>0</v>
      </c>
      <c r="Q495" s="1">
        <v>0</v>
      </c>
      <c r="R495" s="1">
        <v>1</v>
      </c>
      <c r="S495" s="1">
        <f t="shared" si="14"/>
        <v>2</v>
      </c>
      <c r="T495" s="1">
        <v>60682</v>
      </c>
      <c r="U495" s="5">
        <f t="shared" si="15"/>
        <v>3.29587027454599e-5</v>
      </c>
    </row>
    <row r="496" spans="1:21">
      <c r="A496" s="1" t="s">
        <v>521</v>
      </c>
      <c r="B496" s="1" t="s">
        <v>529</v>
      </c>
      <c r="C496" s="1" t="s">
        <v>30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4">
        <v>0</v>
      </c>
      <c r="N496" s="1">
        <v>0</v>
      </c>
      <c r="O496" s="1">
        <v>0</v>
      </c>
      <c r="P496" s="1">
        <v>0</v>
      </c>
      <c r="Q496" s="1">
        <v>0</v>
      </c>
      <c r="R496" s="1">
        <v>1</v>
      </c>
      <c r="S496" s="1">
        <f t="shared" si="14"/>
        <v>2</v>
      </c>
      <c r="T496" s="1">
        <v>64261</v>
      </c>
      <c r="U496" s="5">
        <f t="shared" si="15"/>
        <v>3.11230762048521e-5</v>
      </c>
    </row>
    <row r="497" spans="1:21">
      <c r="A497" s="1" t="s">
        <v>521</v>
      </c>
      <c r="B497" s="1" t="s">
        <v>530</v>
      </c>
      <c r="C497" s="1" t="s">
        <v>33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4">
        <v>0</v>
      </c>
      <c r="N497" s="1">
        <v>0</v>
      </c>
      <c r="O497" s="1">
        <v>0</v>
      </c>
      <c r="P497" s="1">
        <v>0</v>
      </c>
      <c r="Q497" s="1">
        <v>0</v>
      </c>
      <c r="R497" s="1">
        <v>1</v>
      </c>
      <c r="S497" s="1">
        <f t="shared" si="14"/>
        <v>2</v>
      </c>
      <c r="T497" s="1">
        <v>66057</v>
      </c>
      <c r="U497" s="5">
        <f t="shared" si="15"/>
        <v>3.02768820866827e-5</v>
      </c>
    </row>
    <row r="498" spans="1:21">
      <c r="A498" s="1" t="s">
        <v>521</v>
      </c>
      <c r="B498" s="1" t="s">
        <v>531</v>
      </c>
      <c r="C498" s="1" t="s">
        <v>36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4">
        <v>0</v>
      </c>
      <c r="N498" s="1">
        <v>0</v>
      </c>
      <c r="O498" s="1">
        <v>0</v>
      </c>
      <c r="P498" s="1">
        <v>0</v>
      </c>
      <c r="Q498" s="1">
        <v>0</v>
      </c>
      <c r="R498" s="1">
        <v>1</v>
      </c>
      <c r="S498" s="1">
        <f t="shared" si="14"/>
        <v>2</v>
      </c>
      <c r="T498" s="1">
        <v>69223</v>
      </c>
      <c r="U498" s="5">
        <f t="shared" si="15"/>
        <v>2.889213122806e-5</v>
      </c>
    </row>
    <row r="499" spans="1:21">
      <c r="A499" s="1" t="s">
        <v>532</v>
      </c>
      <c r="B499" s="1" t="s">
        <v>533</v>
      </c>
      <c r="C499" s="1" t="s">
        <v>36</v>
      </c>
      <c r="D499" s="1">
        <v>6</v>
      </c>
      <c r="E499" s="1">
        <v>0</v>
      </c>
      <c r="F499" s="1">
        <v>0</v>
      </c>
      <c r="G499" s="1">
        <v>8</v>
      </c>
      <c r="H499" s="1">
        <v>0</v>
      </c>
      <c r="I499" s="1">
        <v>0</v>
      </c>
      <c r="J499" s="1">
        <v>1</v>
      </c>
      <c r="K499" s="1">
        <v>1</v>
      </c>
      <c r="L499" s="1">
        <v>0</v>
      </c>
      <c r="M499" s="4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f t="shared" si="14"/>
        <v>24</v>
      </c>
      <c r="T499" s="1">
        <v>112628</v>
      </c>
      <c r="U499" s="5">
        <f t="shared" si="15"/>
        <v>0.000213090883261711</v>
      </c>
    </row>
    <row r="500" spans="1:21">
      <c r="A500" s="1" t="s">
        <v>532</v>
      </c>
      <c r="B500" s="1" t="s">
        <v>534</v>
      </c>
      <c r="C500" s="1" t="s">
        <v>41</v>
      </c>
      <c r="D500" s="1">
        <v>0</v>
      </c>
      <c r="E500" s="1">
        <v>0</v>
      </c>
      <c r="F500" s="1">
        <v>0</v>
      </c>
      <c r="G500" s="1">
        <v>4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4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f t="shared" si="14"/>
        <v>4</v>
      </c>
      <c r="T500" s="1">
        <v>95679</v>
      </c>
      <c r="U500" s="5">
        <f t="shared" si="15"/>
        <v>4.18064570072848e-5</v>
      </c>
    </row>
    <row r="501" spans="1:21">
      <c r="A501" s="1" t="s">
        <v>532</v>
      </c>
      <c r="B501" s="1" t="s">
        <v>535</v>
      </c>
      <c r="C501" s="1" t="s">
        <v>43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2</v>
      </c>
      <c r="K501" s="1">
        <v>1</v>
      </c>
      <c r="L501" s="1">
        <v>0</v>
      </c>
      <c r="M501" s="4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f t="shared" si="14"/>
        <v>6</v>
      </c>
      <c r="T501" s="1">
        <v>98977</v>
      </c>
      <c r="U501" s="5">
        <f t="shared" si="15"/>
        <v>6.06201440738757e-5</v>
      </c>
    </row>
    <row r="502" spans="1:21">
      <c r="A502" s="1" t="s">
        <v>532</v>
      </c>
      <c r="B502" s="1" t="s">
        <v>536</v>
      </c>
      <c r="C502" s="1" t="s">
        <v>45</v>
      </c>
      <c r="D502" s="1">
        <v>0</v>
      </c>
      <c r="E502" s="1">
        <v>1</v>
      </c>
      <c r="F502" s="1">
        <v>0</v>
      </c>
      <c r="G502" s="1">
        <v>0</v>
      </c>
      <c r="H502" s="1">
        <v>0</v>
      </c>
      <c r="I502" s="1">
        <v>0</v>
      </c>
      <c r="J502" s="1">
        <v>4</v>
      </c>
      <c r="K502" s="1">
        <v>1</v>
      </c>
      <c r="L502" s="1">
        <v>0</v>
      </c>
      <c r="M502" s="4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f t="shared" si="14"/>
        <v>12</v>
      </c>
      <c r="T502" s="1">
        <v>108552</v>
      </c>
      <c r="U502" s="5">
        <f t="shared" si="15"/>
        <v>0.00011054609772275</v>
      </c>
    </row>
    <row r="503" spans="1:21">
      <c r="A503" s="1" t="s">
        <v>532</v>
      </c>
      <c r="B503" s="1" t="s">
        <v>537</v>
      </c>
      <c r="C503" s="1" t="s">
        <v>47</v>
      </c>
      <c r="D503" s="1">
        <v>3</v>
      </c>
      <c r="E503" s="1">
        <v>5</v>
      </c>
      <c r="F503" s="1">
        <v>0</v>
      </c>
      <c r="G503" s="1">
        <v>0</v>
      </c>
      <c r="H503" s="1">
        <v>0</v>
      </c>
      <c r="I503" s="1">
        <v>0</v>
      </c>
      <c r="J503" s="1">
        <v>1</v>
      </c>
      <c r="K503" s="1">
        <v>1</v>
      </c>
      <c r="L503" s="1">
        <v>0</v>
      </c>
      <c r="M503" s="4">
        <v>0</v>
      </c>
      <c r="N503" s="1">
        <v>0</v>
      </c>
      <c r="O503" s="1">
        <v>0</v>
      </c>
      <c r="P503" s="1">
        <v>1</v>
      </c>
      <c r="Q503" s="1">
        <v>0</v>
      </c>
      <c r="R503" s="1">
        <v>0</v>
      </c>
      <c r="S503" s="1">
        <f t="shared" si="14"/>
        <v>22</v>
      </c>
      <c r="T503" s="1">
        <v>106498</v>
      </c>
      <c r="U503" s="5">
        <f t="shared" si="15"/>
        <v>0.000206576649326748</v>
      </c>
    </row>
    <row r="504" spans="1:21">
      <c r="A504" s="1" t="s">
        <v>532</v>
      </c>
      <c r="B504" s="1" t="s">
        <v>538</v>
      </c>
      <c r="C504" s="1" t="s">
        <v>22</v>
      </c>
      <c r="D504" s="1">
        <v>2</v>
      </c>
      <c r="E504" s="1">
        <v>0</v>
      </c>
      <c r="F504" s="1">
        <v>0</v>
      </c>
      <c r="G504" s="1">
        <v>0</v>
      </c>
      <c r="H504" s="1">
        <v>1</v>
      </c>
      <c r="I504" s="1">
        <v>0</v>
      </c>
      <c r="J504" s="1">
        <v>3</v>
      </c>
      <c r="K504" s="1">
        <v>0</v>
      </c>
      <c r="L504" s="1">
        <v>0</v>
      </c>
      <c r="M504" s="4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f t="shared" si="14"/>
        <v>12</v>
      </c>
      <c r="T504" s="1">
        <v>143174</v>
      </c>
      <c r="U504" s="5">
        <f t="shared" si="15"/>
        <v>8.38141003254781e-5</v>
      </c>
    </row>
    <row r="505" spans="1:21">
      <c r="A505" s="1" t="s">
        <v>532</v>
      </c>
      <c r="B505" s="1" t="s">
        <v>539</v>
      </c>
      <c r="C505" s="1" t="s">
        <v>24</v>
      </c>
      <c r="D505" s="1">
        <v>7</v>
      </c>
      <c r="E505" s="1">
        <v>0</v>
      </c>
      <c r="F505" s="1">
        <v>0</v>
      </c>
      <c r="G505" s="1">
        <v>6</v>
      </c>
      <c r="H505" s="1">
        <v>9</v>
      </c>
      <c r="I505" s="1">
        <v>0</v>
      </c>
      <c r="J505" s="1">
        <v>2</v>
      </c>
      <c r="K505" s="1">
        <v>0</v>
      </c>
      <c r="L505" s="1">
        <v>0</v>
      </c>
      <c r="M505" s="4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f t="shared" si="14"/>
        <v>42</v>
      </c>
      <c r="T505" s="1">
        <v>144294</v>
      </c>
      <c r="U505" s="5">
        <f t="shared" si="15"/>
        <v>0.000291072393862531</v>
      </c>
    </row>
    <row r="506" spans="1:21">
      <c r="A506" s="1" t="s">
        <v>532</v>
      </c>
      <c r="B506" s="1" t="s">
        <v>540</v>
      </c>
      <c r="C506" s="1" t="s">
        <v>27</v>
      </c>
      <c r="D506" s="1">
        <v>0</v>
      </c>
      <c r="E506" s="1">
        <v>2</v>
      </c>
      <c r="F506" s="1">
        <v>0</v>
      </c>
      <c r="G506" s="1">
        <v>1</v>
      </c>
      <c r="H506" s="1">
        <v>8</v>
      </c>
      <c r="I506" s="1">
        <v>0</v>
      </c>
      <c r="J506" s="1">
        <v>1</v>
      </c>
      <c r="K506" s="1">
        <v>0</v>
      </c>
      <c r="L506" s="1">
        <v>0</v>
      </c>
      <c r="M506" s="4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f t="shared" si="14"/>
        <v>23</v>
      </c>
      <c r="T506" s="1">
        <v>121442</v>
      </c>
      <c r="U506" s="5">
        <f t="shared" si="15"/>
        <v>0.000189390820309283</v>
      </c>
    </row>
    <row r="507" spans="1:21">
      <c r="A507" s="1" t="s">
        <v>532</v>
      </c>
      <c r="B507" s="1" t="s">
        <v>541</v>
      </c>
      <c r="C507" s="1" t="s">
        <v>30</v>
      </c>
      <c r="D507" s="1">
        <v>3</v>
      </c>
      <c r="E507" s="1">
        <v>1</v>
      </c>
      <c r="F507" s="1">
        <v>0</v>
      </c>
      <c r="G507" s="1">
        <v>2</v>
      </c>
      <c r="H507" s="1">
        <v>9</v>
      </c>
      <c r="I507" s="1">
        <v>0</v>
      </c>
      <c r="J507" s="1">
        <v>3</v>
      </c>
      <c r="K507" s="1">
        <v>1</v>
      </c>
      <c r="L507" s="1">
        <v>0</v>
      </c>
      <c r="M507" s="4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f t="shared" si="14"/>
        <v>36</v>
      </c>
      <c r="T507" s="1">
        <v>116489</v>
      </c>
      <c r="U507" s="5">
        <f t="shared" si="15"/>
        <v>0.000309042055473049</v>
      </c>
    </row>
    <row r="508" spans="1:21">
      <c r="A508" s="1" t="s">
        <v>532</v>
      </c>
      <c r="B508" s="1" t="s">
        <v>542</v>
      </c>
      <c r="C508" s="1" t="s">
        <v>33</v>
      </c>
      <c r="D508" s="1">
        <v>2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1</v>
      </c>
      <c r="K508" s="1">
        <v>1</v>
      </c>
      <c r="L508" s="1">
        <v>0</v>
      </c>
      <c r="M508" s="4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f t="shared" si="14"/>
        <v>8</v>
      </c>
      <c r="T508" s="1">
        <v>112549</v>
      </c>
      <c r="U508" s="5">
        <f t="shared" si="15"/>
        <v>7.1080151756124e-5</v>
      </c>
    </row>
    <row r="509" spans="1:21">
      <c r="A509" s="1" t="s">
        <v>543</v>
      </c>
      <c r="B509" s="1" t="s">
        <v>544</v>
      </c>
      <c r="C509" s="1" t="s">
        <v>47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4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f t="shared" si="14"/>
        <v>0</v>
      </c>
      <c r="T509" s="1">
        <v>52337</v>
      </c>
      <c r="U509" s="5">
        <f t="shared" si="15"/>
        <v>0</v>
      </c>
    </row>
    <row r="510" spans="1:21">
      <c r="A510" s="1" t="s">
        <v>543</v>
      </c>
      <c r="B510" s="1" t="s">
        <v>545</v>
      </c>
      <c r="C510" s="1" t="s">
        <v>22</v>
      </c>
      <c r="D510" s="1">
        <v>1</v>
      </c>
      <c r="E510" s="1">
        <v>2</v>
      </c>
      <c r="F510" s="1">
        <v>0</v>
      </c>
      <c r="G510" s="1">
        <v>0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M510" s="4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f t="shared" si="14"/>
        <v>8</v>
      </c>
      <c r="T510" s="1">
        <v>57234</v>
      </c>
      <c r="U510" s="5">
        <f t="shared" si="15"/>
        <v>0.000139777055596324</v>
      </c>
    </row>
    <row r="511" spans="1:21">
      <c r="A511" s="1" t="s">
        <v>543</v>
      </c>
      <c r="B511" s="1" t="s">
        <v>546</v>
      </c>
      <c r="C511" s="1" t="s">
        <v>43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4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f t="shared" si="14"/>
        <v>0</v>
      </c>
      <c r="T511" s="1">
        <v>51352</v>
      </c>
      <c r="U511" s="5">
        <f t="shared" si="15"/>
        <v>0</v>
      </c>
    </row>
    <row r="512" spans="1:21">
      <c r="A512" s="1" t="s">
        <v>543</v>
      </c>
      <c r="B512" s="1" t="s">
        <v>547</v>
      </c>
      <c r="C512" s="1">
        <v>2017</v>
      </c>
      <c r="D512" s="1">
        <v>0</v>
      </c>
      <c r="E512" s="1">
        <v>0</v>
      </c>
      <c r="F512" s="1">
        <v>0</v>
      </c>
      <c r="G512" s="1">
        <v>0</v>
      </c>
      <c r="H512" s="1">
        <v>1</v>
      </c>
      <c r="I512" s="1">
        <v>0</v>
      </c>
      <c r="J512" s="1">
        <v>0</v>
      </c>
      <c r="K512" s="1">
        <v>0</v>
      </c>
      <c r="L512" s="1">
        <v>0</v>
      </c>
      <c r="M512" s="4">
        <v>0</v>
      </c>
      <c r="N512" s="1">
        <v>0</v>
      </c>
      <c r="O512" s="1">
        <v>0</v>
      </c>
      <c r="P512" s="1">
        <v>0</v>
      </c>
      <c r="Q512" s="1">
        <v>0</v>
      </c>
      <c r="R512" s="1">
        <v>1</v>
      </c>
      <c r="S512" s="1">
        <f t="shared" si="14"/>
        <v>4</v>
      </c>
      <c r="T512" s="1">
        <v>52029</v>
      </c>
      <c r="U512" s="5">
        <f t="shared" si="15"/>
        <v>7.68802014261277e-5</v>
      </c>
    </row>
    <row r="513" spans="1:21">
      <c r="A513" s="1" t="s">
        <v>543</v>
      </c>
      <c r="B513" s="1" t="s">
        <v>548</v>
      </c>
      <c r="C513" s="1" t="s">
        <v>24</v>
      </c>
      <c r="D513" s="1">
        <v>2</v>
      </c>
      <c r="E513" s="1">
        <v>3</v>
      </c>
      <c r="F513" s="1">
        <v>0</v>
      </c>
      <c r="G513" s="1">
        <v>0</v>
      </c>
      <c r="H513" s="1">
        <v>1</v>
      </c>
      <c r="I513" s="1">
        <v>0</v>
      </c>
      <c r="J513" s="1">
        <v>0</v>
      </c>
      <c r="K513" s="1">
        <v>0</v>
      </c>
      <c r="L513" s="1">
        <v>0</v>
      </c>
      <c r="M513" s="4">
        <v>0</v>
      </c>
      <c r="N513" s="1">
        <v>0</v>
      </c>
      <c r="O513" s="1">
        <v>1</v>
      </c>
      <c r="P513" s="1">
        <v>0</v>
      </c>
      <c r="Q513" s="1">
        <v>0</v>
      </c>
      <c r="R513" s="1">
        <v>0</v>
      </c>
      <c r="S513" s="1">
        <f t="shared" si="14"/>
        <v>14</v>
      </c>
      <c r="T513" s="1">
        <v>56270</v>
      </c>
      <c r="U513" s="5">
        <f t="shared" si="15"/>
        <v>0.000248800426515017</v>
      </c>
    </row>
    <row r="514" spans="1:21">
      <c r="A514" s="1" t="s">
        <v>543</v>
      </c>
      <c r="B514" s="1" t="s">
        <v>549</v>
      </c>
      <c r="C514" s="1" t="s">
        <v>36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1</v>
      </c>
      <c r="K514" s="1">
        <v>0</v>
      </c>
      <c r="L514" s="1">
        <v>0</v>
      </c>
      <c r="M514" s="4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f t="shared" ref="S514:S577" si="16">D514*2+E514*2+F514*2+G514*1+H514*2+I514*2+J514*2+K514*2+L514*2+M514*2+N514*2+O514*2+P514*2+Q514*2+R514*2</f>
        <v>2</v>
      </c>
      <c r="T514" s="1">
        <v>49694</v>
      </c>
      <c r="U514" s="5">
        <f t="shared" ref="U514:U577" si="17">S514/T514</f>
        <v>4.02463074012959e-5</v>
      </c>
    </row>
    <row r="515" spans="1:21">
      <c r="A515" s="1" t="s">
        <v>543</v>
      </c>
      <c r="B515" s="1" t="s">
        <v>550</v>
      </c>
      <c r="C515" s="1" t="s">
        <v>27</v>
      </c>
      <c r="D515" s="1">
        <v>0</v>
      </c>
      <c r="E515" s="1">
        <v>1</v>
      </c>
      <c r="F515" s="1">
        <v>0</v>
      </c>
      <c r="G515" s="1">
        <v>1</v>
      </c>
      <c r="H515" s="1">
        <v>0</v>
      </c>
      <c r="I515" s="1">
        <v>0</v>
      </c>
      <c r="J515" s="1">
        <v>1</v>
      </c>
      <c r="K515" s="1">
        <v>0</v>
      </c>
      <c r="L515" s="1">
        <v>0</v>
      </c>
      <c r="M515" s="4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f t="shared" si="16"/>
        <v>5</v>
      </c>
      <c r="T515" s="1">
        <v>57693</v>
      </c>
      <c r="U515" s="5">
        <f t="shared" si="17"/>
        <v>8.66656266791465e-5</v>
      </c>
    </row>
    <row r="516" spans="1:21">
      <c r="A516" s="1" t="s">
        <v>543</v>
      </c>
      <c r="B516" s="1" t="s">
        <v>551</v>
      </c>
      <c r="C516" s="1" t="s">
        <v>30</v>
      </c>
      <c r="D516" s="1">
        <v>2</v>
      </c>
      <c r="E516" s="1">
        <v>2</v>
      </c>
      <c r="F516" s="1">
        <v>0</v>
      </c>
      <c r="G516" s="1">
        <v>0</v>
      </c>
      <c r="H516" s="1">
        <v>0</v>
      </c>
      <c r="I516" s="1">
        <v>1</v>
      </c>
      <c r="J516" s="1">
        <v>1</v>
      </c>
      <c r="K516" s="1">
        <v>0</v>
      </c>
      <c r="L516" s="1">
        <v>0</v>
      </c>
      <c r="M516" s="4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f t="shared" si="16"/>
        <v>12</v>
      </c>
      <c r="T516" s="1">
        <v>57560</v>
      </c>
      <c r="U516" s="5">
        <f t="shared" si="17"/>
        <v>0.000208478109798471</v>
      </c>
    </row>
    <row r="517" spans="1:21">
      <c r="A517" s="1" t="s">
        <v>543</v>
      </c>
      <c r="B517" s="1" t="s">
        <v>552</v>
      </c>
      <c r="C517" s="1" t="s">
        <v>33</v>
      </c>
      <c r="D517" s="1">
        <v>2</v>
      </c>
      <c r="E517" s="1">
        <v>1</v>
      </c>
      <c r="F517" s="1">
        <v>0</v>
      </c>
      <c r="G517" s="1">
        <v>0</v>
      </c>
      <c r="H517" s="1">
        <v>0</v>
      </c>
      <c r="I517" s="1">
        <v>0</v>
      </c>
      <c r="J517" s="1">
        <v>1</v>
      </c>
      <c r="K517" s="1">
        <v>0</v>
      </c>
      <c r="L517" s="1">
        <v>0</v>
      </c>
      <c r="M517" s="4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f t="shared" si="16"/>
        <v>8</v>
      </c>
      <c r="T517" s="1">
        <v>51061</v>
      </c>
      <c r="U517" s="5">
        <f t="shared" si="17"/>
        <v>0.000156675349092262</v>
      </c>
    </row>
    <row r="518" spans="1:21">
      <c r="A518" s="1" t="s">
        <v>543</v>
      </c>
      <c r="B518" s="1" t="s">
        <v>553</v>
      </c>
      <c r="C518" s="1" t="s">
        <v>41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4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f t="shared" si="16"/>
        <v>0</v>
      </c>
      <c r="T518" s="1">
        <v>49780</v>
      </c>
      <c r="U518" s="5">
        <f t="shared" si="17"/>
        <v>0</v>
      </c>
    </row>
    <row r="519" spans="1:21">
      <c r="A519" s="1" t="s">
        <v>554</v>
      </c>
      <c r="B519" s="1" t="s">
        <v>555</v>
      </c>
      <c r="C519" s="1" t="s">
        <v>41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4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f t="shared" si="16"/>
        <v>0</v>
      </c>
      <c r="T519" s="1">
        <v>51468</v>
      </c>
      <c r="U519" s="5">
        <f t="shared" si="17"/>
        <v>0</v>
      </c>
    </row>
    <row r="520" spans="1:21">
      <c r="A520" s="1" t="s">
        <v>554</v>
      </c>
      <c r="B520" s="1" t="s">
        <v>556</v>
      </c>
      <c r="C520" s="1" t="s">
        <v>43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4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f t="shared" si="16"/>
        <v>0</v>
      </c>
      <c r="T520" s="1">
        <v>52259</v>
      </c>
      <c r="U520" s="5">
        <f t="shared" si="17"/>
        <v>0</v>
      </c>
    </row>
    <row r="521" spans="1:21">
      <c r="A521" s="1" t="s">
        <v>554</v>
      </c>
      <c r="B521" s="1" t="s">
        <v>557</v>
      </c>
      <c r="C521" s="1" t="s">
        <v>45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4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f t="shared" si="16"/>
        <v>0</v>
      </c>
      <c r="T521" s="1">
        <v>54386</v>
      </c>
      <c r="U521" s="5">
        <f t="shared" si="17"/>
        <v>0</v>
      </c>
    </row>
    <row r="522" spans="1:21">
      <c r="A522" s="1" t="s">
        <v>554</v>
      </c>
      <c r="B522" s="1" t="s">
        <v>558</v>
      </c>
      <c r="C522" s="1" t="s">
        <v>47</v>
      </c>
      <c r="D522" s="1">
        <v>0</v>
      </c>
      <c r="E522" s="1">
        <v>0</v>
      </c>
      <c r="F522" s="1">
        <v>0</v>
      </c>
      <c r="G522" s="1">
        <v>0</v>
      </c>
      <c r="H522" s="1">
        <v>3</v>
      </c>
      <c r="I522" s="1">
        <v>0</v>
      </c>
      <c r="J522" s="1">
        <v>0</v>
      </c>
      <c r="K522" s="1">
        <v>0</v>
      </c>
      <c r="L522" s="1">
        <v>0</v>
      </c>
      <c r="M522" s="4">
        <v>0</v>
      </c>
      <c r="N522" s="1">
        <v>0</v>
      </c>
      <c r="O522" s="1">
        <v>0</v>
      </c>
      <c r="P522" s="1">
        <v>1</v>
      </c>
      <c r="Q522" s="1">
        <v>0</v>
      </c>
      <c r="R522" s="1">
        <v>0</v>
      </c>
      <c r="S522" s="1">
        <f t="shared" si="16"/>
        <v>8</v>
      </c>
      <c r="T522" s="1">
        <v>54764</v>
      </c>
      <c r="U522" s="5">
        <f t="shared" si="17"/>
        <v>0.000146081367321598</v>
      </c>
    </row>
    <row r="523" spans="1:21">
      <c r="A523" s="1" t="s">
        <v>554</v>
      </c>
      <c r="B523" s="1" t="s">
        <v>559</v>
      </c>
      <c r="C523" s="1" t="s">
        <v>22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4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f t="shared" si="16"/>
        <v>0</v>
      </c>
      <c r="T523" s="1">
        <v>54795</v>
      </c>
      <c r="U523" s="5">
        <f t="shared" si="17"/>
        <v>0</v>
      </c>
    </row>
    <row r="524" spans="1:21">
      <c r="A524" s="1" t="s">
        <v>554</v>
      </c>
      <c r="B524" s="1" t="s">
        <v>560</v>
      </c>
      <c r="C524" s="1" t="s">
        <v>24</v>
      </c>
      <c r="D524" s="1">
        <v>1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7</v>
      </c>
      <c r="K524" s="1">
        <v>0</v>
      </c>
      <c r="L524" s="1">
        <v>0</v>
      </c>
      <c r="M524" s="4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f t="shared" si="16"/>
        <v>16</v>
      </c>
      <c r="T524" s="1">
        <v>52568</v>
      </c>
      <c r="U524" s="5">
        <f t="shared" si="17"/>
        <v>0.000304367676152793</v>
      </c>
    </row>
    <row r="525" spans="1:21">
      <c r="A525" s="1" t="s">
        <v>554</v>
      </c>
      <c r="B525" s="1" t="s">
        <v>561</v>
      </c>
      <c r="C525" s="1" t="s">
        <v>27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1</v>
      </c>
      <c r="J525" s="1">
        <v>3</v>
      </c>
      <c r="K525" s="1">
        <v>0</v>
      </c>
      <c r="L525" s="1">
        <v>0</v>
      </c>
      <c r="M525" s="4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f t="shared" si="16"/>
        <v>8</v>
      </c>
      <c r="T525" s="1">
        <v>49263</v>
      </c>
      <c r="U525" s="5">
        <f t="shared" si="17"/>
        <v>0.000162393682885736</v>
      </c>
    </row>
    <row r="526" spans="1:21">
      <c r="A526" s="1" t="s">
        <v>554</v>
      </c>
      <c r="B526" s="1" t="s">
        <v>562</v>
      </c>
      <c r="C526" s="1" t="s">
        <v>30</v>
      </c>
      <c r="D526" s="1">
        <v>2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3</v>
      </c>
      <c r="K526" s="1">
        <v>0</v>
      </c>
      <c r="L526" s="1">
        <v>0</v>
      </c>
      <c r="M526" s="4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f t="shared" si="16"/>
        <v>10</v>
      </c>
      <c r="T526" s="1">
        <v>46523</v>
      </c>
      <c r="U526" s="5">
        <f t="shared" si="17"/>
        <v>0.000214947445349612</v>
      </c>
    </row>
    <row r="527" spans="1:21">
      <c r="A527" s="1" t="s">
        <v>554</v>
      </c>
      <c r="B527" s="1" t="s">
        <v>563</v>
      </c>
      <c r="C527" s="1" t="s">
        <v>33</v>
      </c>
      <c r="D527" s="1">
        <v>2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3</v>
      </c>
      <c r="K527" s="1">
        <v>0</v>
      </c>
      <c r="L527" s="1">
        <v>0</v>
      </c>
      <c r="M527" s="4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f t="shared" si="16"/>
        <v>10</v>
      </c>
      <c r="T527" s="1">
        <v>48501</v>
      </c>
      <c r="U527" s="5">
        <f t="shared" si="17"/>
        <v>0.000206181315849158</v>
      </c>
    </row>
    <row r="528" spans="1:21">
      <c r="A528" s="1" t="s">
        <v>554</v>
      </c>
      <c r="B528" s="1" t="s">
        <v>564</v>
      </c>
      <c r="C528" s="1" t="s">
        <v>36</v>
      </c>
      <c r="D528" s="1">
        <v>8</v>
      </c>
      <c r="E528" s="1">
        <v>2</v>
      </c>
      <c r="F528" s="1">
        <v>0</v>
      </c>
      <c r="G528" s="1">
        <v>1</v>
      </c>
      <c r="H528" s="1">
        <v>0</v>
      </c>
      <c r="I528" s="1">
        <v>0</v>
      </c>
      <c r="J528" s="1">
        <v>3</v>
      </c>
      <c r="K528" s="1">
        <v>0</v>
      </c>
      <c r="L528" s="1">
        <v>0</v>
      </c>
      <c r="M528" s="4">
        <v>0</v>
      </c>
      <c r="N528" s="1">
        <v>0</v>
      </c>
      <c r="O528" s="1">
        <v>0</v>
      </c>
      <c r="P528" s="1">
        <v>1</v>
      </c>
      <c r="Q528" s="1">
        <v>0</v>
      </c>
      <c r="R528" s="1">
        <v>0</v>
      </c>
      <c r="S528" s="1">
        <f t="shared" si="16"/>
        <v>29</v>
      </c>
      <c r="T528" s="1">
        <v>49105</v>
      </c>
      <c r="U528" s="5">
        <f t="shared" si="17"/>
        <v>0.000590571224926179</v>
      </c>
    </row>
    <row r="529" spans="1:21">
      <c r="A529" s="1" t="s">
        <v>565</v>
      </c>
      <c r="B529" s="1" t="s">
        <v>566</v>
      </c>
      <c r="C529" s="1" t="s">
        <v>41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4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f t="shared" si="16"/>
        <v>0</v>
      </c>
      <c r="T529" s="1">
        <v>52553</v>
      </c>
      <c r="U529" s="5">
        <f t="shared" si="17"/>
        <v>0</v>
      </c>
    </row>
    <row r="530" spans="1:21">
      <c r="A530" s="1" t="s">
        <v>565</v>
      </c>
      <c r="B530" s="1" t="s">
        <v>567</v>
      </c>
      <c r="C530" s="1" t="s">
        <v>43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4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f t="shared" si="16"/>
        <v>0</v>
      </c>
      <c r="T530" s="1">
        <v>56376</v>
      </c>
      <c r="U530" s="5">
        <f t="shared" si="17"/>
        <v>0</v>
      </c>
    </row>
    <row r="531" spans="1:21">
      <c r="A531" s="1" t="s">
        <v>565</v>
      </c>
      <c r="B531" s="1" t="s">
        <v>568</v>
      </c>
      <c r="C531" s="1" t="s">
        <v>45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4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f t="shared" si="16"/>
        <v>0</v>
      </c>
      <c r="T531" s="1">
        <v>55693</v>
      </c>
      <c r="U531" s="5">
        <f t="shared" si="17"/>
        <v>0</v>
      </c>
    </row>
    <row r="532" spans="1:21">
      <c r="A532" s="1" t="s">
        <v>565</v>
      </c>
      <c r="B532" s="1" t="s">
        <v>569</v>
      </c>
      <c r="C532" s="1" t="s">
        <v>47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4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f t="shared" si="16"/>
        <v>0</v>
      </c>
      <c r="T532" s="1">
        <v>50683</v>
      </c>
      <c r="U532" s="5">
        <f t="shared" si="17"/>
        <v>0</v>
      </c>
    </row>
    <row r="533" spans="1:21">
      <c r="A533" s="1" t="s">
        <v>565</v>
      </c>
      <c r="B533" s="1" t="s">
        <v>570</v>
      </c>
      <c r="C533" s="1" t="s">
        <v>22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4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f t="shared" si="16"/>
        <v>0</v>
      </c>
      <c r="T533" s="1">
        <v>50529</v>
      </c>
      <c r="U533" s="5">
        <f t="shared" si="17"/>
        <v>0</v>
      </c>
    </row>
    <row r="534" spans="1:21">
      <c r="A534" s="1" t="s">
        <v>565</v>
      </c>
      <c r="B534" s="1" t="s">
        <v>571</v>
      </c>
      <c r="C534" s="1" t="s">
        <v>24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4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f t="shared" si="16"/>
        <v>0</v>
      </c>
      <c r="T534" s="1">
        <v>49451</v>
      </c>
      <c r="U534" s="5">
        <f t="shared" si="17"/>
        <v>0</v>
      </c>
    </row>
    <row r="535" spans="1:21">
      <c r="A535" s="1" t="s">
        <v>565</v>
      </c>
      <c r="B535" s="1" t="s">
        <v>572</v>
      </c>
      <c r="C535" s="1" t="s">
        <v>27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4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f t="shared" si="16"/>
        <v>0</v>
      </c>
      <c r="T535" s="1">
        <v>51314</v>
      </c>
      <c r="U535" s="5">
        <f t="shared" si="17"/>
        <v>0</v>
      </c>
    </row>
    <row r="536" spans="1:21">
      <c r="A536" s="1" t="s">
        <v>565</v>
      </c>
      <c r="B536" s="1" t="s">
        <v>573</v>
      </c>
      <c r="C536" s="1" t="s">
        <v>30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4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f t="shared" si="16"/>
        <v>0</v>
      </c>
      <c r="T536" s="1">
        <v>55596</v>
      </c>
      <c r="U536" s="5">
        <f t="shared" si="17"/>
        <v>0</v>
      </c>
    </row>
    <row r="537" spans="1:21">
      <c r="A537" s="1" t="s">
        <v>565</v>
      </c>
      <c r="B537" s="1" t="s">
        <v>574</v>
      </c>
      <c r="C537" s="1" t="s">
        <v>33</v>
      </c>
      <c r="D537" s="1">
        <v>3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4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f t="shared" si="16"/>
        <v>6</v>
      </c>
      <c r="T537" s="1">
        <v>63453</v>
      </c>
      <c r="U537" s="5">
        <f t="shared" si="17"/>
        <v>9.4558176918349e-5</v>
      </c>
    </row>
    <row r="538" spans="1:21">
      <c r="A538" s="1" t="s">
        <v>565</v>
      </c>
      <c r="B538" s="1" t="s">
        <v>575</v>
      </c>
      <c r="C538" s="1" t="s">
        <v>36</v>
      </c>
      <c r="D538" s="1">
        <v>3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4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f t="shared" si="16"/>
        <v>6</v>
      </c>
      <c r="T538" s="1">
        <v>68778</v>
      </c>
      <c r="U538" s="5">
        <f t="shared" si="17"/>
        <v>8.72371979412021e-5</v>
      </c>
    </row>
    <row r="539" spans="1:21">
      <c r="A539" s="1" t="s">
        <v>576</v>
      </c>
      <c r="B539" s="1" t="s">
        <v>577</v>
      </c>
      <c r="C539" s="1" t="s">
        <v>41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4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f t="shared" si="16"/>
        <v>0</v>
      </c>
      <c r="T539" s="1">
        <v>38137</v>
      </c>
      <c r="U539" s="5">
        <f t="shared" si="17"/>
        <v>0</v>
      </c>
    </row>
    <row r="540" spans="1:21">
      <c r="A540" s="1" t="s">
        <v>576</v>
      </c>
      <c r="B540" s="1" t="s">
        <v>578</v>
      </c>
      <c r="C540" s="1" t="s">
        <v>43</v>
      </c>
      <c r="D540" s="1">
        <v>0</v>
      </c>
      <c r="E540" s="1">
        <v>0</v>
      </c>
      <c r="F540" s="1">
        <v>0</v>
      </c>
      <c r="G540" s="1">
        <v>1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4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f t="shared" si="16"/>
        <v>1</v>
      </c>
      <c r="T540" s="1">
        <v>37850</v>
      </c>
      <c r="U540" s="5">
        <f t="shared" si="17"/>
        <v>2.64200792602378e-5</v>
      </c>
    </row>
    <row r="541" spans="1:21">
      <c r="A541" s="1" t="s">
        <v>576</v>
      </c>
      <c r="B541" s="1" t="s">
        <v>220</v>
      </c>
      <c r="C541" s="1" t="s">
        <v>45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4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f t="shared" si="16"/>
        <v>0</v>
      </c>
      <c r="T541" s="1">
        <v>42729</v>
      </c>
      <c r="U541" s="5">
        <f t="shared" si="17"/>
        <v>0</v>
      </c>
    </row>
    <row r="542" spans="1:21">
      <c r="A542" s="1" t="s">
        <v>576</v>
      </c>
      <c r="B542" s="1" t="s">
        <v>221</v>
      </c>
      <c r="C542" s="1" t="s">
        <v>47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4">
        <v>0</v>
      </c>
      <c r="N542" s="1">
        <v>0</v>
      </c>
      <c r="O542" s="1">
        <v>0</v>
      </c>
      <c r="P542" s="1">
        <v>0</v>
      </c>
      <c r="Q542" s="1">
        <v>0</v>
      </c>
      <c r="R542" s="1">
        <v>2</v>
      </c>
      <c r="S542" s="1">
        <f t="shared" si="16"/>
        <v>4</v>
      </c>
      <c r="T542" s="1">
        <v>38710</v>
      </c>
      <c r="U542" s="5">
        <f t="shared" si="17"/>
        <v>0.000103332472229398</v>
      </c>
    </row>
    <row r="543" spans="1:21">
      <c r="A543" s="1" t="s">
        <v>576</v>
      </c>
      <c r="B543" s="1" t="s">
        <v>222</v>
      </c>
      <c r="C543" s="1" t="s">
        <v>22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4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f t="shared" si="16"/>
        <v>0</v>
      </c>
      <c r="T543" s="1">
        <v>38635</v>
      </c>
      <c r="U543" s="5">
        <f t="shared" si="17"/>
        <v>0</v>
      </c>
    </row>
    <row r="544" spans="1:21">
      <c r="A544" s="1" t="s">
        <v>576</v>
      </c>
      <c r="B544" s="1" t="s">
        <v>223</v>
      </c>
      <c r="C544" s="1" t="s">
        <v>24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4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f t="shared" si="16"/>
        <v>0</v>
      </c>
      <c r="T544" s="1">
        <v>38298</v>
      </c>
      <c r="U544" s="5">
        <f t="shared" si="17"/>
        <v>0</v>
      </c>
    </row>
    <row r="545" spans="1:21">
      <c r="A545" s="1" t="s">
        <v>576</v>
      </c>
      <c r="B545" s="1" t="s">
        <v>579</v>
      </c>
      <c r="C545" s="1" t="s">
        <v>30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4">
        <v>0</v>
      </c>
      <c r="N545" s="1">
        <v>0</v>
      </c>
      <c r="O545" s="1">
        <v>0</v>
      </c>
      <c r="P545" s="1">
        <v>0</v>
      </c>
      <c r="Q545" s="1">
        <v>0</v>
      </c>
      <c r="R545" s="1">
        <v>1</v>
      </c>
      <c r="S545" s="1">
        <f t="shared" si="16"/>
        <v>2</v>
      </c>
      <c r="T545" s="1">
        <v>37673</v>
      </c>
      <c r="U545" s="5">
        <f t="shared" si="17"/>
        <v>5.30884187614472e-5</v>
      </c>
    </row>
    <row r="546" spans="1:21">
      <c r="A546" s="1" t="s">
        <v>576</v>
      </c>
      <c r="B546" s="1" t="s">
        <v>580</v>
      </c>
      <c r="C546" s="1" t="s">
        <v>33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4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f t="shared" si="16"/>
        <v>0</v>
      </c>
      <c r="T546" s="1">
        <v>37875</v>
      </c>
      <c r="U546" s="5">
        <f t="shared" si="17"/>
        <v>0</v>
      </c>
    </row>
    <row r="547" spans="1:21">
      <c r="A547" s="1" t="s">
        <v>576</v>
      </c>
      <c r="B547" s="1" t="s">
        <v>581</v>
      </c>
      <c r="C547" s="1" t="s">
        <v>36</v>
      </c>
      <c r="D547" s="1">
        <v>2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4">
        <v>0</v>
      </c>
      <c r="N547" s="1">
        <v>0</v>
      </c>
      <c r="O547" s="1">
        <v>0</v>
      </c>
      <c r="P547" s="1">
        <v>0</v>
      </c>
      <c r="Q547" s="1">
        <v>0</v>
      </c>
      <c r="R547" s="1">
        <v>2</v>
      </c>
      <c r="S547" s="1">
        <f t="shared" si="16"/>
        <v>8</v>
      </c>
      <c r="T547" s="1">
        <v>38825</v>
      </c>
      <c r="U547" s="5">
        <f t="shared" si="17"/>
        <v>0.000206052801030264</v>
      </c>
    </row>
    <row r="548" spans="1:21">
      <c r="A548" s="1" t="s">
        <v>576</v>
      </c>
      <c r="B548" s="1" t="s">
        <v>582</v>
      </c>
      <c r="C548" s="1" t="s">
        <v>27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4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f t="shared" si="16"/>
        <v>0</v>
      </c>
      <c r="T548" s="1">
        <v>39848</v>
      </c>
      <c r="U548" s="5">
        <f t="shared" si="17"/>
        <v>0</v>
      </c>
    </row>
    <row r="549" spans="1:21">
      <c r="A549" s="1" t="s">
        <v>583</v>
      </c>
      <c r="B549" s="1" t="s">
        <v>584</v>
      </c>
      <c r="C549" s="1" t="s">
        <v>41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4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f t="shared" si="16"/>
        <v>0</v>
      </c>
      <c r="T549" s="1">
        <v>25051</v>
      </c>
      <c r="U549" s="5">
        <f t="shared" si="17"/>
        <v>0</v>
      </c>
    </row>
    <row r="550" spans="1:21">
      <c r="A550" s="1" t="s">
        <v>583</v>
      </c>
      <c r="B550" s="1" t="s">
        <v>585</v>
      </c>
      <c r="C550" s="1" t="s">
        <v>24</v>
      </c>
      <c r="D550" s="1">
        <v>1</v>
      </c>
      <c r="E550" s="1">
        <v>0</v>
      </c>
      <c r="F550" s="1">
        <v>0</v>
      </c>
      <c r="G550" s="1">
        <v>0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M550" s="4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f t="shared" si="16"/>
        <v>4</v>
      </c>
      <c r="T550" s="1">
        <v>52724</v>
      </c>
      <c r="U550" s="5">
        <f t="shared" si="17"/>
        <v>7.5866777937941e-5</v>
      </c>
    </row>
    <row r="551" spans="1:21">
      <c r="A551" s="1" t="s">
        <v>583</v>
      </c>
      <c r="B551" s="1" t="s">
        <v>586</v>
      </c>
      <c r="C551" s="1" t="s">
        <v>27</v>
      </c>
      <c r="D551" s="1">
        <v>2</v>
      </c>
      <c r="E551" s="1">
        <v>0</v>
      </c>
      <c r="F551" s="1">
        <v>0</v>
      </c>
      <c r="G551" s="1">
        <v>0</v>
      </c>
      <c r="H551" s="1">
        <v>1</v>
      </c>
      <c r="I551" s="1">
        <v>0</v>
      </c>
      <c r="J551" s="1">
        <v>0</v>
      </c>
      <c r="K551" s="1">
        <v>0</v>
      </c>
      <c r="L551" s="1">
        <v>0</v>
      </c>
      <c r="M551" s="4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f t="shared" si="16"/>
        <v>6</v>
      </c>
      <c r="T551" s="1">
        <v>57637</v>
      </c>
      <c r="U551" s="5">
        <f t="shared" si="17"/>
        <v>0.000104099797005396</v>
      </c>
    </row>
    <row r="552" spans="1:21">
      <c r="A552" s="1" t="s">
        <v>583</v>
      </c>
      <c r="B552" s="1" t="s">
        <v>587</v>
      </c>
      <c r="C552" s="1" t="s">
        <v>30</v>
      </c>
      <c r="D552" s="1">
        <v>2</v>
      </c>
      <c r="E552" s="1">
        <v>0</v>
      </c>
      <c r="F552" s="1">
        <v>0</v>
      </c>
      <c r="G552" s="1">
        <v>1</v>
      </c>
      <c r="H552" s="1">
        <v>1</v>
      </c>
      <c r="I552" s="1">
        <v>0</v>
      </c>
      <c r="J552" s="1">
        <v>0</v>
      </c>
      <c r="K552" s="1">
        <v>0</v>
      </c>
      <c r="L552" s="1">
        <v>0</v>
      </c>
      <c r="M552" s="4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f t="shared" si="16"/>
        <v>7</v>
      </c>
      <c r="T552" s="1">
        <v>64183</v>
      </c>
      <c r="U552" s="5">
        <f t="shared" si="17"/>
        <v>0.000109063147562439</v>
      </c>
    </row>
    <row r="553" spans="1:21">
      <c r="A553" s="1" t="s">
        <v>583</v>
      </c>
      <c r="B553" s="1" t="s">
        <v>588</v>
      </c>
      <c r="C553" s="1" t="s">
        <v>33</v>
      </c>
      <c r="D553" s="1">
        <v>1</v>
      </c>
      <c r="E553" s="1">
        <v>0</v>
      </c>
      <c r="F553" s="1">
        <v>0</v>
      </c>
      <c r="G553" s="1">
        <v>0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4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f t="shared" si="16"/>
        <v>4</v>
      </c>
      <c r="T553" s="1">
        <v>64604</v>
      </c>
      <c r="U553" s="5">
        <f t="shared" si="17"/>
        <v>6.19156708562937e-5</v>
      </c>
    </row>
    <row r="554" spans="1:21">
      <c r="A554" s="1" t="s">
        <v>583</v>
      </c>
      <c r="B554" s="1" t="s">
        <v>589</v>
      </c>
      <c r="C554" s="1" t="s">
        <v>36</v>
      </c>
      <c r="D554" s="1">
        <v>4</v>
      </c>
      <c r="E554" s="1">
        <v>2</v>
      </c>
      <c r="F554" s="1">
        <v>0</v>
      </c>
      <c r="G554" s="1">
        <v>13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4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f t="shared" si="16"/>
        <v>25</v>
      </c>
      <c r="T554" s="1">
        <v>64751</v>
      </c>
      <c r="U554" s="5">
        <f t="shared" si="17"/>
        <v>0.000386094423252151</v>
      </c>
    </row>
    <row r="555" spans="1:21">
      <c r="A555" s="1" t="s">
        <v>583</v>
      </c>
      <c r="B555" s="1" t="s">
        <v>590</v>
      </c>
      <c r="C555" s="1" t="s">
        <v>22</v>
      </c>
      <c r="D555" s="1">
        <v>1</v>
      </c>
      <c r="E555" s="1">
        <v>0</v>
      </c>
      <c r="F555" s="1">
        <v>0</v>
      </c>
      <c r="G555" s="1">
        <v>0</v>
      </c>
      <c r="H555" s="1">
        <v>2</v>
      </c>
      <c r="I555" s="1">
        <v>0</v>
      </c>
      <c r="J555" s="1">
        <v>0</v>
      </c>
      <c r="K555" s="1">
        <v>0</v>
      </c>
      <c r="L555" s="1">
        <v>0</v>
      </c>
      <c r="M555" s="4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f t="shared" si="16"/>
        <v>6</v>
      </c>
      <c r="T555" s="1">
        <v>53417</v>
      </c>
      <c r="U555" s="5">
        <f t="shared" si="17"/>
        <v>0.00011232379205122</v>
      </c>
    </row>
    <row r="556" spans="1:21">
      <c r="A556" s="1" t="s">
        <v>583</v>
      </c>
      <c r="B556" s="1" t="s">
        <v>591</v>
      </c>
      <c r="C556" s="1" t="s">
        <v>43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4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f t="shared" si="16"/>
        <v>0</v>
      </c>
      <c r="T556" s="1">
        <v>34164</v>
      </c>
      <c r="U556" s="5">
        <f t="shared" si="17"/>
        <v>0</v>
      </c>
    </row>
    <row r="557" spans="1:21">
      <c r="A557" s="1" t="s">
        <v>583</v>
      </c>
      <c r="B557" s="1" t="s">
        <v>592</v>
      </c>
      <c r="C557" s="1" t="s">
        <v>45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4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f t="shared" si="16"/>
        <v>0</v>
      </c>
      <c r="T557" s="1">
        <v>43656</v>
      </c>
      <c r="U557" s="5">
        <f t="shared" si="17"/>
        <v>0</v>
      </c>
    </row>
    <row r="558" spans="1:21">
      <c r="A558" s="1" t="s">
        <v>583</v>
      </c>
      <c r="B558" s="1" t="s">
        <v>593</v>
      </c>
      <c r="C558" s="1" t="s">
        <v>47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4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f t="shared" si="16"/>
        <v>0</v>
      </c>
      <c r="T558" s="1">
        <v>53182</v>
      </c>
      <c r="U558" s="5">
        <f t="shared" si="17"/>
        <v>0</v>
      </c>
    </row>
    <row r="559" spans="1:21">
      <c r="A559" s="1" t="s">
        <v>594</v>
      </c>
      <c r="B559" s="1" t="s">
        <v>595</v>
      </c>
      <c r="C559" s="1" t="s">
        <v>41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4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f t="shared" si="16"/>
        <v>0</v>
      </c>
      <c r="T559" s="1">
        <v>21939</v>
      </c>
      <c r="U559" s="5">
        <f t="shared" si="17"/>
        <v>0</v>
      </c>
    </row>
    <row r="560" spans="1:21">
      <c r="A560" s="1" t="s">
        <v>594</v>
      </c>
      <c r="B560" s="1" t="s">
        <v>596</v>
      </c>
      <c r="C560" s="1" t="s">
        <v>43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4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f t="shared" si="16"/>
        <v>0</v>
      </c>
      <c r="T560" s="1">
        <v>23949</v>
      </c>
      <c r="U560" s="5">
        <f t="shared" si="17"/>
        <v>0</v>
      </c>
    </row>
    <row r="561" spans="1:21">
      <c r="A561" s="1" t="s">
        <v>594</v>
      </c>
      <c r="B561" s="1" t="s">
        <v>597</v>
      </c>
      <c r="C561" s="1" t="s">
        <v>45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4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f t="shared" si="16"/>
        <v>0</v>
      </c>
      <c r="T561" s="1">
        <v>29136</v>
      </c>
      <c r="U561" s="5">
        <f t="shared" si="17"/>
        <v>0</v>
      </c>
    </row>
    <row r="562" spans="1:21">
      <c r="A562" s="1" t="s">
        <v>594</v>
      </c>
      <c r="B562" s="1" t="s">
        <v>598</v>
      </c>
      <c r="C562" s="1" t="s">
        <v>47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4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f t="shared" si="16"/>
        <v>0</v>
      </c>
      <c r="T562" s="1">
        <v>29873</v>
      </c>
      <c r="U562" s="5">
        <f t="shared" si="17"/>
        <v>0</v>
      </c>
    </row>
    <row r="563" spans="1:21">
      <c r="A563" s="1" t="s">
        <v>594</v>
      </c>
      <c r="B563" s="1" t="s">
        <v>599</v>
      </c>
      <c r="C563" s="1" t="s">
        <v>22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4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f t="shared" si="16"/>
        <v>0</v>
      </c>
      <c r="T563" s="1">
        <v>30763</v>
      </c>
      <c r="U563" s="5">
        <f t="shared" si="17"/>
        <v>0</v>
      </c>
    </row>
    <row r="564" spans="1:21">
      <c r="A564" s="1" t="s">
        <v>594</v>
      </c>
      <c r="B564" s="1" t="s">
        <v>600</v>
      </c>
      <c r="C564" s="1" t="s">
        <v>24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4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f t="shared" si="16"/>
        <v>0</v>
      </c>
      <c r="T564" s="1">
        <v>30994</v>
      </c>
      <c r="U564" s="5">
        <f t="shared" si="17"/>
        <v>0</v>
      </c>
    </row>
    <row r="565" spans="1:21">
      <c r="A565" s="1" t="s">
        <v>594</v>
      </c>
      <c r="B565" s="1" t="s">
        <v>601</v>
      </c>
      <c r="C565" s="1" t="s">
        <v>27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4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f t="shared" si="16"/>
        <v>0</v>
      </c>
      <c r="T565" s="1">
        <v>30530</v>
      </c>
      <c r="U565" s="5">
        <f t="shared" si="17"/>
        <v>0</v>
      </c>
    </row>
    <row r="566" spans="1:21">
      <c r="A566" s="1" t="s">
        <v>594</v>
      </c>
      <c r="B566" s="1" t="s">
        <v>602</v>
      </c>
      <c r="C566" s="1" t="s">
        <v>30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4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f t="shared" si="16"/>
        <v>0</v>
      </c>
      <c r="T566" s="1">
        <v>32279</v>
      </c>
      <c r="U566" s="5">
        <f t="shared" si="17"/>
        <v>0</v>
      </c>
    </row>
    <row r="567" spans="1:21">
      <c r="A567" s="1" t="s">
        <v>594</v>
      </c>
      <c r="B567" s="1" t="s">
        <v>603</v>
      </c>
      <c r="C567" s="1" t="s">
        <v>33</v>
      </c>
      <c r="D567" s="1">
        <v>8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4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f t="shared" si="16"/>
        <v>16</v>
      </c>
      <c r="T567" s="1">
        <v>34571</v>
      </c>
      <c r="U567" s="5">
        <f t="shared" si="17"/>
        <v>0.000462815654739522</v>
      </c>
    </row>
    <row r="568" spans="1:21">
      <c r="A568" s="1" t="s">
        <v>594</v>
      </c>
      <c r="B568" s="1" t="s">
        <v>604</v>
      </c>
      <c r="C568" s="1" t="s">
        <v>36</v>
      </c>
      <c r="D568" s="1">
        <v>7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4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f t="shared" si="16"/>
        <v>14</v>
      </c>
      <c r="T568" s="1">
        <v>41629</v>
      </c>
      <c r="U568" s="5">
        <f t="shared" si="17"/>
        <v>0.000336304018833025</v>
      </c>
    </row>
    <row r="569" spans="1:21">
      <c r="A569" s="1" t="s">
        <v>605</v>
      </c>
      <c r="B569" s="1" t="s">
        <v>606</v>
      </c>
      <c r="C569" s="1" t="s">
        <v>41</v>
      </c>
      <c r="D569" s="1">
        <v>0</v>
      </c>
      <c r="E569" s="1">
        <v>0</v>
      </c>
      <c r="F569" s="1">
        <v>0</v>
      </c>
      <c r="G569" s="1">
        <v>0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4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f t="shared" si="16"/>
        <v>2</v>
      </c>
      <c r="T569" s="1">
        <v>25840</v>
      </c>
      <c r="U569" s="5">
        <f t="shared" si="17"/>
        <v>7.73993808049536e-5</v>
      </c>
    </row>
    <row r="570" spans="1:21">
      <c r="A570" s="1" t="s">
        <v>605</v>
      </c>
      <c r="B570" s="1" t="s">
        <v>607</v>
      </c>
      <c r="C570" s="1" t="s">
        <v>43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4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f t="shared" si="16"/>
        <v>0</v>
      </c>
      <c r="T570" s="1">
        <v>28337</v>
      </c>
      <c r="U570" s="5">
        <f t="shared" si="17"/>
        <v>0</v>
      </c>
    </row>
    <row r="571" spans="1:21">
      <c r="A571" s="1" t="s">
        <v>605</v>
      </c>
      <c r="B571" s="1" t="s">
        <v>608</v>
      </c>
      <c r="C571" s="1" t="s">
        <v>45</v>
      </c>
      <c r="D571" s="1">
        <v>1</v>
      </c>
      <c r="E571" s="1">
        <v>0</v>
      </c>
      <c r="F571" s="1">
        <v>0</v>
      </c>
      <c r="G571" s="1">
        <v>0</v>
      </c>
      <c r="H571" s="1">
        <v>1</v>
      </c>
      <c r="I571" s="1">
        <v>0</v>
      </c>
      <c r="J571" s="1">
        <v>0</v>
      </c>
      <c r="K571" s="1">
        <v>1</v>
      </c>
      <c r="L571" s="1">
        <v>0</v>
      </c>
      <c r="M571" s="4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f t="shared" si="16"/>
        <v>6</v>
      </c>
      <c r="T571" s="1">
        <v>33534</v>
      </c>
      <c r="U571" s="5">
        <f t="shared" si="17"/>
        <v>0.000178922884236894</v>
      </c>
    </row>
    <row r="572" spans="1:21">
      <c r="A572" s="1" t="s">
        <v>605</v>
      </c>
      <c r="B572" s="1" t="s">
        <v>609</v>
      </c>
      <c r="C572" s="1" t="s">
        <v>47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1</v>
      </c>
      <c r="J572" s="1">
        <v>0</v>
      </c>
      <c r="K572" s="1">
        <v>0</v>
      </c>
      <c r="L572" s="1">
        <v>2</v>
      </c>
      <c r="M572" s="4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f t="shared" si="16"/>
        <v>6</v>
      </c>
      <c r="T572" s="1">
        <v>30019</v>
      </c>
      <c r="U572" s="5">
        <f t="shared" si="17"/>
        <v>0.00019987341350478</v>
      </c>
    </row>
    <row r="573" spans="1:21">
      <c r="A573" s="1" t="s">
        <v>605</v>
      </c>
      <c r="B573" s="1" t="s">
        <v>610</v>
      </c>
      <c r="C573" s="1" t="s">
        <v>22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2</v>
      </c>
      <c r="J573" s="1">
        <v>0</v>
      </c>
      <c r="K573" s="1">
        <v>0</v>
      </c>
      <c r="L573" s="1">
        <v>2</v>
      </c>
      <c r="M573" s="4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f t="shared" si="16"/>
        <v>8</v>
      </c>
      <c r="T573" s="1">
        <v>36294</v>
      </c>
      <c r="U573" s="5">
        <f t="shared" si="17"/>
        <v>0.000220422108337466</v>
      </c>
    </row>
    <row r="574" spans="1:21">
      <c r="A574" s="1" t="s">
        <v>605</v>
      </c>
      <c r="B574" s="1" t="s">
        <v>611</v>
      </c>
      <c r="C574" s="1" t="s">
        <v>24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1</v>
      </c>
      <c r="J574" s="1">
        <v>0</v>
      </c>
      <c r="K574" s="1">
        <v>0</v>
      </c>
      <c r="L574" s="1">
        <v>0</v>
      </c>
      <c r="M574" s="4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f t="shared" si="16"/>
        <v>2</v>
      </c>
      <c r="T574" s="1">
        <v>37381</v>
      </c>
      <c r="U574" s="5">
        <f t="shared" si="17"/>
        <v>5.35031165565394e-5</v>
      </c>
    </row>
    <row r="575" spans="1:21">
      <c r="A575" s="1" t="s">
        <v>605</v>
      </c>
      <c r="B575" s="1" t="s">
        <v>612</v>
      </c>
      <c r="C575" s="1" t="s">
        <v>27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4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f t="shared" si="16"/>
        <v>0</v>
      </c>
      <c r="T575" s="1">
        <v>39472</v>
      </c>
      <c r="U575" s="5">
        <f t="shared" si="17"/>
        <v>0</v>
      </c>
    </row>
    <row r="576" spans="1:21">
      <c r="A576" s="1" t="s">
        <v>605</v>
      </c>
      <c r="B576" s="1" t="s">
        <v>613</v>
      </c>
      <c r="C576" s="1" t="s">
        <v>30</v>
      </c>
      <c r="D576" s="1">
        <v>5</v>
      </c>
      <c r="E576" s="1">
        <v>3</v>
      </c>
      <c r="F576" s="1">
        <v>0</v>
      </c>
      <c r="G576" s="1">
        <v>12</v>
      </c>
      <c r="H576" s="1">
        <v>0</v>
      </c>
      <c r="I576" s="1">
        <v>3</v>
      </c>
      <c r="J576" s="1">
        <v>3</v>
      </c>
      <c r="K576" s="1">
        <v>0</v>
      </c>
      <c r="L576" s="1">
        <v>0</v>
      </c>
      <c r="M576" s="4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f t="shared" si="16"/>
        <v>40</v>
      </c>
      <c r="T576" s="1">
        <v>34354</v>
      </c>
      <c r="U576" s="5">
        <f t="shared" si="17"/>
        <v>0.00116434767421552</v>
      </c>
    </row>
    <row r="577" spans="1:21">
      <c r="A577" s="1" t="s">
        <v>605</v>
      </c>
      <c r="B577" s="1" t="s">
        <v>614</v>
      </c>
      <c r="C577" s="1" t="s">
        <v>33</v>
      </c>
      <c r="D577" s="1">
        <v>4</v>
      </c>
      <c r="E577" s="1">
        <v>1</v>
      </c>
      <c r="F577" s="1">
        <v>0</v>
      </c>
      <c r="G577" s="1">
        <v>1</v>
      </c>
      <c r="H577" s="1">
        <v>0</v>
      </c>
      <c r="I577" s="1">
        <v>2</v>
      </c>
      <c r="J577" s="1">
        <v>2</v>
      </c>
      <c r="K577" s="1">
        <v>0</v>
      </c>
      <c r="L577" s="1">
        <v>0</v>
      </c>
      <c r="M577" s="4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f t="shared" si="16"/>
        <v>19</v>
      </c>
      <c r="T577" s="1">
        <v>31971</v>
      </c>
      <c r="U577" s="5">
        <f t="shared" si="17"/>
        <v>0.000594288574020206</v>
      </c>
    </row>
    <row r="578" spans="1:21">
      <c r="A578" s="1" t="s">
        <v>605</v>
      </c>
      <c r="B578" s="1" t="s">
        <v>615</v>
      </c>
      <c r="C578" s="1" t="s">
        <v>36</v>
      </c>
      <c r="D578" s="1">
        <v>3</v>
      </c>
      <c r="E578" s="1">
        <v>0</v>
      </c>
      <c r="F578" s="1">
        <v>0</v>
      </c>
      <c r="G578" s="1">
        <v>2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4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f t="shared" ref="S578:S641" si="18">D578*2+E578*2+F578*2+G578*1+H578*2+I578*2+J578*2+K578*2+L578*2+M578*2+N578*2+O578*2+P578*2+Q578*2+R578*2</f>
        <v>8</v>
      </c>
      <c r="T578" s="1">
        <v>35273</v>
      </c>
      <c r="U578" s="5">
        <f t="shared" ref="U578:U641" si="19">S578/T578</f>
        <v>0.000226802370084767</v>
      </c>
    </row>
    <row r="579" spans="1:21">
      <c r="A579" s="1" t="s">
        <v>616</v>
      </c>
      <c r="B579" s="1" t="s">
        <v>617</v>
      </c>
      <c r="C579" s="1" t="s">
        <v>36</v>
      </c>
      <c r="D579" s="1">
        <v>0</v>
      </c>
      <c r="E579" s="1">
        <v>0</v>
      </c>
      <c r="F579" s="1">
        <v>0</v>
      </c>
      <c r="G579" s="1">
        <v>1</v>
      </c>
      <c r="H579" s="1">
        <v>0</v>
      </c>
      <c r="I579" s="1">
        <v>0</v>
      </c>
      <c r="J579" s="1">
        <v>1</v>
      </c>
      <c r="K579" s="1">
        <v>0</v>
      </c>
      <c r="L579" s="1">
        <v>0</v>
      </c>
      <c r="M579" s="4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f t="shared" si="18"/>
        <v>3</v>
      </c>
      <c r="T579" s="1">
        <v>66626</v>
      </c>
      <c r="U579" s="5">
        <f t="shared" si="19"/>
        <v>4.50274667547204e-5</v>
      </c>
    </row>
    <row r="580" spans="1:21">
      <c r="A580" s="1" t="s">
        <v>618</v>
      </c>
      <c r="B580" s="1" t="s">
        <v>619</v>
      </c>
      <c r="C580" s="1" t="s">
        <v>41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4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f t="shared" si="18"/>
        <v>0</v>
      </c>
      <c r="T580" s="1">
        <v>20947</v>
      </c>
      <c r="U580" s="5">
        <f t="shared" si="19"/>
        <v>0</v>
      </c>
    </row>
    <row r="581" spans="1:21">
      <c r="A581" s="1" t="s">
        <v>618</v>
      </c>
      <c r="B581" s="1" t="s">
        <v>620</v>
      </c>
      <c r="C581" s="1" t="s">
        <v>43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4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f t="shared" si="18"/>
        <v>0</v>
      </c>
      <c r="T581" s="1">
        <v>18292</v>
      </c>
      <c r="U581" s="5">
        <f t="shared" si="19"/>
        <v>0</v>
      </c>
    </row>
    <row r="582" spans="1:21">
      <c r="A582" s="1" t="s">
        <v>618</v>
      </c>
      <c r="B582" s="1" t="s">
        <v>621</v>
      </c>
      <c r="C582" s="1" t="s">
        <v>45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4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f t="shared" si="18"/>
        <v>0</v>
      </c>
      <c r="T582" s="1">
        <v>20382</v>
      </c>
      <c r="U582" s="5">
        <f t="shared" si="19"/>
        <v>0</v>
      </c>
    </row>
    <row r="583" spans="1:21">
      <c r="A583" s="1" t="s">
        <v>618</v>
      </c>
      <c r="B583" s="1" t="s">
        <v>622</v>
      </c>
      <c r="C583" s="1" t="s">
        <v>47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4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f t="shared" si="18"/>
        <v>0</v>
      </c>
      <c r="T583" s="1">
        <v>16340</v>
      </c>
      <c r="U583" s="5">
        <f t="shared" si="19"/>
        <v>0</v>
      </c>
    </row>
    <row r="584" spans="1:21">
      <c r="A584" s="1" t="s">
        <v>618</v>
      </c>
      <c r="B584" s="1" t="s">
        <v>623</v>
      </c>
      <c r="C584" s="1" t="s">
        <v>22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4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f t="shared" si="18"/>
        <v>0</v>
      </c>
      <c r="T584" s="1">
        <v>18690</v>
      </c>
      <c r="U584" s="5">
        <f t="shared" si="19"/>
        <v>0</v>
      </c>
    </row>
    <row r="585" spans="1:21">
      <c r="A585" s="1" t="s">
        <v>618</v>
      </c>
      <c r="B585" s="1" t="s">
        <v>624</v>
      </c>
      <c r="C585" s="1" t="s">
        <v>24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4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f t="shared" si="18"/>
        <v>0</v>
      </c>
      <c r="T585" s="1">
        <v>19790</v>
      </c>
      <c r="U585" s="5">
        <f t="shared" si="19"/>
        <v>0</v>
      </c>
    </row>
    <row r="586" spans="1:21">
      <c r="A586" s="1" t="s">
        <v>618</v>
      </c>
      <c r="B586" s="1" t="s">
        <v>625</v>
      </c>
      <c r="C586" s="1" t="s">
        <v>27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4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f t="shared" si="18"/>
        <v>0</v>
      </c>
      <c r="T586" s="1">
        <v>20021</v>
      </c>
      <c r="U586" s="5">
        <f t="shared" si="19"/>
        <v>0</v>
      </c>
    </row>
    <row r="587" spans="1:21">
      <c r="A587" s="1" t="s">
        <v>618</v>
      </c>
      <c r="B587" s="1" t="s">
        <v>626</v>
      </c>
      <c r="C587" s="1" t="s">
        <v>30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4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f t="shared" si="18"/>
        <v>0</v>
      </c>
      <c r="T587" s="1">
        <v>16066</v>
      </c>
      <c r="U587" s="5">
        <f t="shared" si="19"/>
        <v>0</v>
      </c>
    </row>
    <row r="588" spans="1:21">
      <c r="A588" s="1" t="s">
        <v>618</v>
      </c>
      <c r="B588" s="1" t="s">
        <v>627</v>
      </c>
      <c r="C588" s="1" t="s">
        <v>33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4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f t="shared" si="18"/>
        <v>0</v>
      </c>
      <c r="T588" s="1">
        <v>15731</v>
      </c>
      <c r="U588" s="5">
        <f t="shared" si="19"/>
        <v>0</v>
      </c>
    </row>
    <row r="589" spans="1:21">
      <c r="A589" s="1" t="s">
        <v>618</v>
      </c>
      <c r="B589" s="1" t="s">
        <v>628</v>
      </c>
      <c r="C589" s="1" t="s">
        <v>36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4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f t="shared" si="18"/>
        <v>0</v>
      </c>
      <c r="T589" s="1">
        <v>16917</v>
      </c>
      <c r="U589" s="5">
        <f t="shared" si="19"/>
        <v>0</v>
      </c>
    </row>
    <row r="590" spans="1:21">
      <c r="A590" s="1" t="s">
        <v>629</v>
      </c>
      <c r="B590" s="1" t="s">
        <v>630</v>
      </c>
      <c r="C590" s="1" t="s">
        <v>33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4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f t="shared" si="18"/>
        <v>0</v>
      </c>
      <c r="T590" s="1">
        <v>39209</v>
      </c>
      <c r="U590" s="5">
        <f t="shared" si="19"/>
        <v>0</v>
      </c>
    </row>
    <row r="591" spans="1:21">
      <c r="A591" s="1" t="s">
        <v>629</v>
      </c>
      <c r="B591" s="1" t="s">
        <v>631</v>
      </c>
      <c r="C591" s="1" t="s">
        <v>41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4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f t="shared" si="18"/>
        <v>0</v>
      </c>
      <c r="T591" s="1">
        <v>26535</v>
      </c>
      <c r="U591" s="5">
        <f t="shared" si="19"/>
        <v>0</v>
      </c>
    </row>
    <row r="592" spans="1:21">
      <c r="A592" s="1" t="s">
        <v>629</v>
      </c>
      <c r="B592" s="1" t="s">
        <v>632</v>
      </c>
      <c r="C592" s="1" t="s">
        <v>43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4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f t="shared" si="18"/>
        <v>0</v>
      </c>
      <c r="T592" s="1">
        <v>27954</v>
      </c>
      <c r="U592" s="5">
        <f t="shared" si="19"/>
        <v>0</v>
      </c>
    </row>
    <row r="593" spans="1:21">
      <c r="A593" s="1" t="s">
        <v>629</v>
      </c>
      <c r="B593" s="1" t="s">
        <v>633</v>
      </c>
      <c r="C593" s="1" t="s">
        <v>45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1</v>
      </c>
      <c r="L593" s="1">
        <v>0</v>
      </c>
      <c r="M593" s="4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f t="shared" si="18"/>
        <v>2</v>
      </c>
      <c r="T593" s="1">
        <v>28234</v>
      </c>
      <c r="U593" s="5">
        <f t="shared" si="19"/>
        <v>7.08365800099171e-5</v>
      </c>
    </row>
    <row r="594" spans="1:21">
      <c r="A594" s="1" t="s">
        <v>629</v>
      </c>
      <c r="B594" s="1" t="s">
        <v>634</v>
      </c>
      <c r="C594" s="1" t="s">
        <v>30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4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f t="shared" si="18"/>
        <v>0</v>
      </c>
      <c r="T594" s="1">
        <v>36812</v>
      </c>
      <c r="U594" s="5">
        <f t="shared" si="19"/>
        <v>0</v>
      </c>
    </row>
    <row r="595" spans="1:21">
      <c r="A595" s="1" t="s">
        <v>629</v>
      </c>
      <c r="B595" s="1" t="s">
        <v>635</v>
      </c>
      <c r="C595" s="1" t="s">
        <v>39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4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f t="shared" si="18"/>
        <v>0</v>
      </c>
      <c r="T595" s="1">
        <v>43196</v>
      </c>
      <c r="U595" s="5">
        <f t="shared" si="19"/>
        <v>0</v>
      </c>
    </row>
    <row r="596" spans="1:21">
      <c r="A596" s="1" t="s">
        <v>629</v>
      </c>
      <c r="B596" s="1" t="s">
        <v>636</v>
      </c>
      <c r="C596" s="1" t="s">
        <v>47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4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f t="shared" si="18"/>
        <v>0</v>
      </c>
      <c r="T596" s="1">
        <v>26728</v>
      </c>
      <c r="U596" s="5">
        <f t="shared" si="19"/>
        <v>0</v>
      </c>
    </row>
    <row r="597" spans="1:21">
      <c r="A597" s="1" t="s">
        <v>629</v>
      </c>
      <c r="B597" s="1" t="s">
        <v>637</v>
      </c>
      <c r="C597" s="1" t="s">
        <v>22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4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f t="shared" si="18"/>
        <v>0</v>
      </c>
      <c r="T597" s="1">
        <v>27265</v>
      </c>
      <c r="U597" s="5">
        <f t="shared" si="19"/>
        <v>0</v>
      </c>
    </row>
    <row r="598" spans="1:21">
      <c r="A598" s="1" t="s">
        <v>629</v>
      </c>
      <c r="B598" s="1" t="s">
        <v>638</v>
      </c>
      <c r="C598" s="1" t="s">
        <v>24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4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f t="shared" si="18"/>
        <v>0</v>
      </c>
      <c r="T598" s="1">
        <v>28018</v>
      </c>
      <c r="U598" s="5">
        <f t="shared" si="19"/>
        <v>0</v>
      </c>
    </row>
    <row r="599" spans="1:21">
      <c r="A599" s="1" t="s">
        <v>629</v>
      </c>
      <c r="B599" s="1" t="s">
        <v>639</v>
      </c>
      <c r="C599" s="1" t="s">
        <v>27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4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f t="shared" si="18"/>
        <v>0</v>
      </c>
      <c r="T599" s="1">
        <v>29821</v>
      </c>
      <c r="U599" s="5">
        <f t="shared" si="19"/>
        <v>0</v>
      </c>
    </row>
    <row r="600" spans="1:21">
      <c r="A600" s="1" t="s">
        <v>640</v>
      </c>
      <c r="B600" s="1">
        <v>2018</v>
      </c>
      <c r="C600" s="1" t="s">
        <v>22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4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f t="shared" si="18"/>
        <v>0</v>
      </c>
      <c r="T600" s="1">
        <v>34223</v>
      </c>
      <c r="U600" s="5">
        <f t="shared" si="19"/>
        <v>0</v>
      </c>
    </row>
    <row r="601" spans="1:21">
      <c r="A601" s="1" t="s">
        <v>640</v>
      </c>
      <c r="B601" s="1">
        <v>2019</v>
      </c>
      <c r="C601" s="1" t="s">
        <v>24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4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f t="shared" si="18"/>
        <v>0</v>
      </c>
      <c r="T601" s="1">
        <v>32896</v>
      </c>
      <c r="U601" s="5">
        <f t="shared" si="19"/>
        <v>0</v>
      </c>
    </row>
    <row r="602" spans="1:21">
      <c r="A602" s="1" t="s">
        <v>640</v>
      </c>
      <c r="B602" s="1">
        <v>2020</v>
      </c>
      <c r="C602" s="1" t="s">
        <v>27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4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f t="shared" si="18"/>
        <v>0</v>
      </c>
      <c r="T602" s="1">
        <v>36900</v>
      </c>
      <c r="U602" s="5">
        <f t="shared" si="19"/>
        <v>0</v>
      </c>
    </row>
    <row r="603" spans="1:21">
      <c r="A603" s="1" t="s">
        <v>640</v>
      </c>
      <c r="B603" s="1">
        <v>2021</v>
      </c>
      <c r="C603" s="1" t="s">
        <v>30</v>
      </c>
      <c r="D603" s="1">
        <v>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1</v>
      </c>
      <c r="K603" s="1">
        <v>0</v>
      </c>
      <c r="L603" s="1">
        <v>0</v>
      </c>
      <c r="M603" s="4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f t="shared" si="18"/>
        <v>4</v>
      </c>
      <c r="T603" s="1">
        <v>29932</v>
      </c>
      <c r="U603" s="5">
        <f t="shared" si="19"/>
        <v>0.000133636242148871</v>
      </c>
    </row>
    <row r="604" spans="1:21">
      <c r="A604" s="1" t="s">
        <v>640</v>
      </c>
      <c r="B604" s="1">
        <v>2022</v>
      </c>
      <c r="C604" s="1" t="s">
        <v>33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4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f t="shared" si="18"/>
        <v>0</v>
      </c>
      <c r="T604" s="1">
        <v>34608</v>
      </c>
      <c r="U604" s="5">
        <f t="shared" si="19"/>
        <v>0</v>
      </c>
    </row>
    <row r="605" spans="1:21">
      <c r="A605" s="1" t="s">
        <v>640</v>
      </c>
      <c r="B605" s="1">
        <v>2023</v>
      </c>
      <c r="C605" s="1" t="s">
        <v>36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4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f t="shared" si="18"/>
        <v>0</v>
      </c>
      <c r="T605" s="1">
        <v>37431</v>
      </c>
      <c r="U605" s="5">
        <f t="shared" si="19"/>
        <v>0</v>
      </c>
    </row>
    <row r="606" spans="1:21">
      <c r="A606" s="1" t="s">
        <v>641</v>
      </c>
      <c r="B606" s="1" t="s">
        <v>642</v>
      </c>
      <c r="C606" s="1" t="s">
        <v>22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4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f t="shared" si="18"/>
        <v>0</v>
      </c>
      <c r="T606" s="1">
        <v>31708</v>
      </c>
      <c r="U606" s="5">
        <f t="shared" si="19"/>
        <v>0</v>
      </c>
    </row>
    <row r="607" spans="1:21">
      <c r="A607" s="1" t="s">
        <v>641</v>
      </c>
      <c r="B607" s="1" t="s">
        <v>223</v>
      </c>
      <c r="C607" s="1" t="s">
        <v>24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4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f t="shared" si="18"/>
        <v>0</v>
      </c>
      <c r="T607" s="1">
        <v>29142</v>
      </c>
      <c r="U607" s="5">
        <f t="shared" si="19"/>
        <v>0</v>
      </c>
    </row>
    <row r="608" spans="1:21">
      <c r="A608" s="1" t="s">
        <v>641</v>
      </c>
      <c r="B608" s="1" t="s">
        <v>643</v>
      </c>
      <c r="C608" s="1" t="s">
        <v>27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4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f t="shared" si="18"/>
        <v>0</v>
      </c>
      <c r="T608" s="1">
        <v>29619</v>
      </c>
      <c r="U608" s="5">
        <f t="shared" si="19"/>
        <v>0</v>
      </c>
    </row>
    <row r="609" spans="1:21">
      <c r="A609" s="1" t="s">
        <v>641</v>
      </c>
      <c r="B609" s="1" t="s">
        <v>644</v>
      </c>
      <c r="C609" s="1" t="s">
        <v>36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4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f t="shared" si="18"/>
        <v>0</v>
      </c>
      <c r="T609" s="1">
        <v>36522</v>
      </c>
      <c r="U609" s="5">
        <f t="shared" si="19"/>
        <v>0</v>
      </c>
    </row>
    <row r="610" spans="1:21">
      <c r="A610" s="1" t="s">
        <v>641</v>
      </c>
      <c r="B610" s="1" t="s">
        <v>645</v>
      </c>
      <c r="C610" s="1" t="s">
        <v>33</v>
      </c>
      <c r="D610" s="1">
        <v>0</v>
      </c>
      <c r="E610" s="1">
        <v>0</v>
      </c>
      <c r="F610" s="1">
        <v>0</v>
      </c>
      <c r="G610" s="1">
        <v>0</v>
      </c>
      <c r="H610" s="1">
        <v>1</v>
      </c>
      <c r="I610" s="1">
        <v>1</v>
      </c>
      <c r="J610" s="1">
        <v>2</v>
      </c>
      <c r="K610" s="1">
        <v>0</v>
      </c>
      <c r="L610" s="1">
        <v>0</v>
      </c>
      <c r="M610" s="4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f t="shared" si="18"/>
        <v>8</v>
      </c>
      <c r="T610" s="1">
        <v>31930</v>
      </c>
      <c r="U610" s="5">
        <f t="shared" si="19"/>
        <v>0.000250548073911682</v>
      </c>
    </row>
    <row r="611" spans="1:21">
      <c r="A611" s="1" t="s">
        <v>641</v>
      </c>
      <c r="B611" s="1" t="s">
        <v>646</v>
      </c>
      <c r="C611" s="1" t="s">
        <v>30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4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f t="shared" si="18"/>
        <v>0</v>
      </c>
      <c r="T611" s="1">
        <v>32484</v>
      </c>
      <c r="U611" s="5">
        <f t="shared" si="19"/>
        <v>0</v>
      </c>
    </row>
    <row r="612" spans="1:21">
      <c r="A612" s="1" t="s">
        <v>641</v>
      </c>
      <c r="B612" s="1" t="s">
        <v>647</v>
      </c>
      <c r="C612" s="1" t="s">
        <v>41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4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f t="shared" si="18"/>
        <v>0</v>
      </c>
      <c r="T612" s="1">
        <v>27912</v>
      </c>
      <c r="U612" s="5">
        <f t="shared" si="19"/>
        <v>0</v>
      </c>
    </row>
    <row r="613" spans="1:21">
      <c r="A613" s="1" t="s">
        <v>641</v>
      </c>
      <c r="B613" s="1" t="s">
        <v>648</v>
      </c>
      <c r="C613" s="1" t="s">
        <v>43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4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f t="shared" si="18"/>
        <v>0</v>
      </c>
      <c r="T613" s="1">
        <v>31050</v>
      </c>
      <c r="U613" s="5">
        <f t="shared" si="19"/>
        <v>0</v>
      </c>
    </row>
    <row r="614" spans="1:21">
      <c r="A614" s="1" t="s">
        <v>641</v>
      </c>
      <c r="B614" s="1" t="s">
        <v>649</v>
      </c>
      <c r="C614" s="1" t="s">
        <v>45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4">
        <v>0</v>
      </c>
      <c r="N614" s="1">
        <v>0</v>
      </c>
      <c r="O614" s="1">
        <v>0</v>
      </c>
      <c r="P614" s="1">
        <v>0</v>
      </c>
      <c r="Q614" s="1">
        <v>0</v>
      </c>
      <c r="R614" s="1">
        <v>1</v>
      </c>
      <c r="S614" s="1">
        <f t="shared" si="18"/>
        <v>2</v>
      </c>
      <c r="T614" s="1">
        <v>32947</v>
      </c>
      <c r="U614" s="5">
        <f t="shared" si="19"/>
        <v>6.0703554193098e-5</v>
      </c>
    </row>
    <row r="615" spans="1:21">
      <c r="A615" s="1" t="s">
        <v>641</v>
      </c>
      <c r="B615" s="1" t="s">
        <v>650</v>
      </c>
      <c r="C615" s="1" t="s">
        <v>47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4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f t="shared" si="18"/>
        <v>0</v>
      </c>
      <c r="T615" s="1">
        <v>11937</v>
      </c>
      <c r="U615" s="5">
        <f t="shared" si="19"/>
        <v>0</v>
      </c>
    </row>
    <row r="616" spans="1:21">
      <c r="A616" s="1" t="s">
        <v>651</v>
      </c>
      <c r="B616" s="1" t="s">
        <v>652</v>
      </c>
      <c r="C616" s="1" t="s">
        <v>41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4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f t="shared" si="18"/>
        <v>0</v>
      </c>
      <c r="T616" s="1">
        <v>32934</v>
      </c>
      <c r="U616" s="5">
        <f t="shared" si="19"/>
        <v>0</v>
      </c>
    </row>
    <row r="617" spans="1:21">
      <c r="A617" s="1" t="s">
        <v>651</v>
      </c>
      <c r="B617" s="1" t="s">
        <v>653</v>
      </c>
      <c r="C617" s="1" t="s">
        <v>43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4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f t="shared" si="18"/>
        <v>0</v>
      </c>
      <c r="T617" s="1">
        <v>36332</v>
      </c>
      <c r="U617" s="5">
        <f t="shared" si="19"/>
        <v>0</v>
      </c>
    </row>
    <row r="618" spans="1:21">
      <c r="A618" s="1" t="s">
        <v>651</v>
      </c>
      <c r="B618" s="1" t="s">
        <v>654</v>
      </c>
      <c r="C618" s="1" t="s">
        <v>45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4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f t="shared" si="18"/>
        <v>0</v>
      </c>
      <c r="T618" s="1">
        <v>36549</v>
      </c>
      <c r="U618" s="5">
        <f t="shared" si="19"/>
        <v>0</v>
      </c>
    </row>
    <row r="619" spans="1:21">
      <c r="A619" s="1" t="s">
        <v>651</v>
      </c>
      <c r="B619" s="1" t="s">
        <v>655</v>
      </c>
      <c r="C619" s="1" t="s">
        <v>47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4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f t="shared" si="18"/>
        <v>0</v>
      </c>
      <c r="T619" s="1">
        <v>43702</v>
      </c>
      <c r="U619" s="5">
        <f t="shared" si="19"/>
        <v>0</v>
      </c>
    </row>
    <row r="620" spans="1:21">
      <c r="A620" s="1" t="s">
        <v>651</v>
      </c>
      <c r="B620" s="1" t="s">
        <v>656</v>
      </c>
      <c r="C620" s="1" t="s">
        <v>22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4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f t="shared" si="18"/>
        <v>0</v>
      </c>
      <c r="T620" s="1">
        <v>45531</v>
      </c>
      <c r="U620" s="5">
        <f t="shared" si="19"/>
        <v>0</v>
      </c>
    </row>
    <row r="621" spans="1:21">
      <c r="A621" s="1" t="s">
        <v>651</v>
      </c>
      <c r="B621" s="1" t="s">
        <v>657</v>
      </c>
      <c r="C621" s="1" t="s">
        <v>24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4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f t="shared" si="18"/>
        <v>0</v>
      </c>
      <c r="T621" s="1">
        <v>13564</v>
      </c>
      <c r="U621" s="5">
        <f t="shared" si="19"/>
        <v>0</v>
      </c>
    </row>
    <row r="622" spans="1:21">
      <c r="A622" s="1" t="s">
        <v>651</v>
      </c>
      <c r="B622" s="1" t="s">
        <v>658</v>
      </c>
      <c r="C622" s="1" t="s">
        <v>27</v>
      </c>
      <c r="D622" s="1">
        <v>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4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f t="shared" si="18"/>
        <v>2</v>
      </c>
      <c r="T622" s="1">
        <v>11651</v>
      </c>
      <c r="U622" s="5">
        <f t="shared" si="19"/>
        <v>0.000171659085057077</v>
      </c>
    </row>
    <row r="623" spans="1:21">
      <c r="A623" s="1" t="s">
        <v>651</v>
      </c>
      <c r="B623" s="1" t="s">
        <v>659</v>
      </c>
      <c r="C623" s="1" t="s">
        <v>30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4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f t="shared" si="18"/>
        <v>0</v>
      </c>
      <c r="T623" s="1">
        <v>54050</v>
      </c>
      <c r="U623" s="5">
        <f t="shared" si="19"/>
        <v>0</v>
      </c>
    </row>
    <row r="624" spans="1:21">
      <c r="A624" s="1" t="s">
        <v>651</v>
      </c>
      <c r="B624" s="1" t="s">
        <v>660</v>
      </c>
      <c r="C624" s="1" t="s">
        <v>33</v>
      </c>
      <c r="D624" s="1">
        <v>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1</v>
      </c>
      <c r="K624" s="1">
        <v>1</v>
      </c>
      <c r="L624" s="1">
        <v>0</v>
      </c>
      <c r="M624" s="4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f t="shared" si="18"/>
        <v>6</v>
      </c>
      <c r="T624" s="1">
        <v>54825</v>
      </c>
      <c r="U624" s="5">
        <f t="shared" si="19"/>
        <v>0.000109439124487004</v>
      </c>
    </row>
    <row r="625" spans="1:21">
      <c r="A625" s="1" t="s">
        <v>651</v>
      </c>
      <c r="B625" s="1" t="s">
        <v>661</v>
      </c>
      <c r="C625" s="1" t="s">
        <v>36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1</v>
      </c>
      <c r="K625" s="1">
        <v>1</v>
      </c>
      <c r="L625" s="1">
        <v>0</v>
      </c>
      <c r="M625" s="4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f t="shared" si="18"/>
        <v>4</v>
      </c>
      <c r="T625" s="1">
        <v>55021</v>
      </c>
      <c r="U625" s="5">
        <f t="shared" si="19"/>
        <v>7.26995147307392e-5</v>
      </c>
    </row>
    <row r="626" spans="1:21">
      <c r="A626" s="1" t="s">
        <v>662</v>
      </c>
      <c r="B626" s="1" t="s">
        <v>663</v>
      </c>
      <c r="C626" s="1" t="s">
        <v>22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1</v>
      </c>
      <c r="J626" s="1">
        <v>0</v>
      </c>
      <c r="K626" s="1">
        <v>0</v>
      </c>
      <c r="L626" s="1">
        <v>0</v>
      </c>
      <c r="M626" s="4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f t="shared" si="18"/>
        <v>2</v>
      </c>
      <c r="T626" s="1">
        <v>52466</v>
      </c>
      <c r="U626" s="5">
        <f t="shared" si="19"/>
        <v>3.81199252849464e-5</v>
      </c>
    </row>
    <row r="627" spans="1:21">
      <c r="A627" s="1" t="s">
        <v>662</v>
      </c>
      <c r="B627" s="1" t="s">
        <v>664</v>
      </c>
      <c r="C627" s="1" t="s">
        <v>24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4">
        <v>0</v>
      </c>
      <c r="N627" s="1">
        <v>0</v>
      </c>
      <c r="O627" s="1">
        <v>0</v>
      </c>
      <c r="P627" s="1">
        <v>1</v>
      </c>
      <c r="Q627" s="1">
        <v>0</v>
      </c>
      <c r="R627" s="1">
        <v>0</v>
      </c>
      <c r="S627" s="1">
        <f t="shared" si="18"/>
        <v>2</v>
      </c>
      <c r="T627" s="1">
        <v>52754</v>
      </c>
      <c r="U627" s="5">
        <f t="shared" si="19"/>
        <v>3.79118171133942e-5</v>
      </c>
    </row>
    <row r="628" spans="1:21">
      <c r="A628" s="1" t="s">
        <v>662</v>
      </c>
      <c r="B628" s="1" t="s">
        <v>665</v>
      </c>
      <c r="C628" s="1" t="s">
        <v>27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4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f t="shared" si="18"/>
        <v>0</v>
      </c>
      <c r="T628" s="1">
        <v>56453</v>
      </c>
      <c r="U628" s="5">
        <f t="shared" si="19"/>
        <v>0</v>
      </c>
    </row>
    <row r="629" spans="1:21">
      <c r="A629" s="1" t="s">
        <v>662</v>
      </c>
      <c r="B629" s="1" t="s">
        <v>666</v>
      </c>
      <c r="C629" s="1" t="s">
        <v>30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4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f t="shared" si="18"/>
        <v>0</v>
      </c>
      <c r="T629" s="1">
        <v>94736</v>
      </c>
      <c r="U629" s="5">
        <f t="shared" si="19"/>
        <v>0</v>
      </c>
    </row>
    <row r="630" spans="1:21">
      <c r="A630" s="1" t="s">
        <v>662</v>
      </c>
      <c r="B630" s="1" t="s">
        <v>667</v>
      </c>
      <c r="C630" s="1" t="s">
        <v>33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1</v>
      </c>
      <c r="L630" s="1">
        <v>0</v>
      </c>
      <c r="M630" s="4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f t="shared" si="18"/>
        <v>2</v>
      </c>
      <c r="T630" s="1">
        <v>113954</v>
      </c>
      <c r="U630" s="5">
        <f t="shared" si="19"/>
        <v>1.75509416080173e-5</v>
      </c>
    </row>
    <row r="631" spans="1:21">
      <c r="A631" s="1" t="s">
        <v>662</v>
      </c>
      <c r="B631" s="1" t="s">
        <v>668</v>
      </c>
      <c r="C631" s="1" t="s">
        <v>36</v>
      </c>
      <c r="D631" s="1">
        <v>1</v>
      </c>
      <c r="E631" s="1">
        <v>0</v>
      </c>
      <c r="F631" s="1">
        <v>0</v>
      </c>
      <c r="G631" s="1">
        <v>2</v>
      </c>
      <c r="H631" s="1">
        <v>0</v>
      </c>
      <c r="I631" s="1">
        <v>1</v>
      </c>
      <c r="J631" s="1">
        <v>0</v>
      </c>
      <c r="K631" s="1">
        <v>2</v>
      </c>
      <c r="L631" s="1">
        <v>0</v>
      </c>
      <c r="M631" s="4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f t="shared" si="18"/>
        <v>10</v>
      </c>
      <c r="T631" s="1">
        <v>128492</v>
      </c>
      <c r="U631" s="5">
        <f t="shared" si="19"/>
        <v>7.78258568626841e-5</v>
      </c>
    </row>
    <row r="632" spans="1:21">
      <c r="A632" s="1" t="s">
        <v>669</v>
      </c>
      <c r="B632" s="1" t="s">
        <v>670</v>
      </c>
      <c r="C632" s="1" t="s">
        <v>27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4">
        <v>0</v>
      </c>
      <c r="N632" s="1">
        <v>0</v>
      </c>
      <c r="O632" s="1">
        <v>0</v>
      </c>
      <c r="P632" s="1">
        <v>0</v>
      </c>
      <c r="Q632" s="1">
        <v>0</v>
      </c>
      <c r="R632" s="1">
        <v>1</v>
      </c>
      <c r="S632" s="1">
        <f t="shared" si="18"/>
        <v>2</v>
      </c>
      <c r="T632" s="1">
        <v>55506</v>
      </c>
      <c r="U632" s="5">
        <f t="shared" si="19"/>
        <v>3.60321406694772e-5</v>
      </c>
    </row>
    <row r="633" spans="1:21">
      <c r="A633" s="1" t="s">
        <v>669</v>
      </c>
      <c r="B633" s="1" t="s">
        <v>671</v>
      </c>
      <c r="C633" s="1" t="s">
        <v>30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4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f t="shared" si="18"/>
        <v>0</v>
      </c>
      <c r="T633" s="1">
        <v>83095</v>
      </c>
      <c r="U633" s="5">
        <f t="shared" si="19"/>
        <v>0</v>
      </c>
    </row>
    <row r="634" spans="1:21">
      <c r="A634" s="1" t="s">
        <v>669</v>
      </c>
      <c r="B634" s="1" t="s">
        <v>672</v>
      </c>
      <c r="C634" s="1" t="s">
        <v>33</v>
      </c>
      <c r="D634" s="1">
        <v>1</v>
      </c>
      <c r="E634" s="1">
        <v>2</v>
      </c>
      <c r="F634" s="1">
        <v>1</v>
      </c>
      <c r="G634" s="1">
        <v>2</v>
      </c>
      <c r="H634" s="1">
        <v>1</v>
      </c>
      <c r="I634" s="1">
        <v>0</v>
      </c>
      <c r="J634" s="1">
        <v>0</v>
      </c>
      <c r="K634" s="1">
        <v>0</v>
      </c>
      <c r="L634" s="1">
        <v>0</v>
      </c>
      <c r="M634" s="4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f t="shared" si="18"/>
        <v>12</v>
      </c>
      <c r="T634" s="1">
        <v>91954</v>
      </c>
      <c r="U634" s="5">
        <f t="shared" si="19"/>
        <v>0.000130500032625008</v>
      </c>
    </row>
    <row r="635" spans="1:21">
      <c r="A635" s="1" t="s">
        <v>669</v>
      </c>
      <c r="B635" s="1" t="s">
        <v>673</v>
      </c>
      <c r="C635" s="1" t="s">
        <v>36</v>
      </c>
      <c r="D635" s="1">
        <v>2</v>
      </c>
      <c r="E635" s="1">
        <v>2</v>
      </c>
      <c r="F635" s="1">
        <v>1</v>
      </c>
      <c r="G635" s="1">
        <v>6</v>
      </c>
      <c r="H635" s="1">
        <v>2</v>
      </c>
      <c r="I635" s="1">
        <v>0</v>
      </c>
      <c r="J635" s="1">
        <v>0</v>
      </c>
      <c r="K635" s="1">
        <v>1</v>
      </c>
      <c r="L635" s="1">
        <v>0</v>
      </c>
      <c r="M635" s="4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f t="shared" si="18"/>
        <v>22</v>
      </c>
      <c r="T635" s="1">
        <v>92464</v>
      </c>
      <c r="U635" s="5">
        <f t="shared" si="19"/>
        <v>0.000237930437792006</v>
      </c>
    </row>
    <row r="636" spans="1:21">
      <c r="A636" s="1" t="s">
        <v>669</v>
      </c>
      <c r="B636" s="1" t="s">
        <v>674</v>
      </c>
      <c r="C636" s="1" t="s">
        <v>45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4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f t="shared" si="18"/>
        <v>0</v>
      </c>
      <c r="T636" s="1">
        <v>44633</v>
      </c>
      <c r="U636" s="5">
        <f t="shared" si="19"/>
        <v>0</v>
      </c>
    </row>
    <row r="637" spans="1:21">
      <c r="A637" s="1" t="s">
        <v>669</v>
      </c>
      <c r="B637" s="1" t="s">
        <v>675</v>
      </c>
      <c r="C637" s="1" t="s">
        <v>24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4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f t="shared" si="18"/>
        <v>0</v>
      </c>
      <c r="T637" s="1">
        <v>54134</v>
      </c>
      <c r="U637" s="5">
        <f t="shared" si="19"/>
        <v>0</v>
      </c>
    </row>
    <row r="638" spans="1:21">
      <c r="A638" s="1" t="s">
        <v>669</v>
      </c>
      <c r="B638" s="1" t="s">
        <v>676</v>
      </c>
      <c r="C638" s="1" t="s">
        <v>41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4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f t="shared" si="18"/>
        <v>0</v>
      </c>
      <c r="T638" s="1">
        <v>42706</v>
      </c>
      <c r="U638" s="5">
        <f t="shared" si="19"/>
        <v>0</v>
      </c>
    </row>
    <row r="639" spans="1:21">
      <c r="A639" s="1" t="s">
        <v>669</v>
      </c>
      <c r="B639" s="1" t="s">
        <v>677</v>
      </c>
      <c r="C639" s="1" t="s">
        <v>47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4">
        <v>0</v>
      </c>
      <c r="N639" s="1">
        <v>0</v>
      </c>
      <c r="O639" s="1">
        <v>0</v>
      </c>
      <c r="P639" s="1">
        <v>0</v>
      </c>
      <c r="Q639" s="1">
        <v>0</v>
      </c>
      <c r="R639" s="1">
        <v>1</v>
      </c>
      <c r="S639" s="1">
        <f t="shared" si="18"/>
        <v>2</v>
      </c>
      <c r="T639" s="1">
        <v>46591</v>
      </c>
      <c r="U639" s="5">
        <f t="shared" si="19"/>
        <v>4.29267455087893e-5</v>
      </c>
    </row>
    <row r="640" spans="1:21">
      <c r="A640" s="1" t="s">
        <v>669</v>
      </c>
      <c r="B640" s="1" t="s">
        <v>678</v>
      </c>
      <c r="C640" s="1" t="s">
        <v>22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4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f t="shared" si="18"/>
        <v>0</v>
      </c>
      <c r="T640" s="1">
        <v>50391</v>
      </c>
      <c r="U640" s="5">
        <f t="shared" si="19"/>
        <v>0</v>
      </c>
    </row>
    <row r="641" spans="1:21">
      <c r="A641" s="1" t="s">
        <v>669</v>
      </c>
      <c r="B641" s="1" t="s">
        <v>679</v>
      </c>
      <c r="C641" s="1" t="s">
        <v>43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4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f t="shared" si="18"/>
        <v>0</v>
      </c>
      <c r="T641" s="1">
        <v>42997</v>
      </c>
      <c r="U641" s="5">
        <f t="shared" si="19"/>
        <v>0</v>
      </c>
    </row>
    <row r="642" spans="1:21">
      <c r="A642" s="1" t="s">
        <v>680</v>
      </c>
      <c r="B642" s="1" t="s">
        <v>681</v>
      </c>
      <c r="C642" s="1">
        <v>2017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4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f t="shared" ref="S642:S705" si="20">D642*2+E642*2+F642*2+G642*1+H642*2+I642*2+J642*2+K642*2+L642*2+M642*2+N642*2+O642*2+P642*2+Q642*2+R642*2</f>
        <v>0</v>
      </c>
      <c r="T642" s="1">
        <v>56316</v>
      </c>
      <c r="U642" s="5">
        <f t="shared" ref="U642:U705" si="21">S642/T642</f>
        <v>0</v>
      </c>
    </row>
    <row r="643" spans="1:21">
      <c r="A643" s="1" t="s">
        <v>680</v>
      </c>
      <c r="B643" s="1" t="s">
        <v>682</v>
      </c>
      <c r="C643" s="1">
        <v>2018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4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f t="shared" si="20"/>
        <v>0</v>
      </c>
      <c r="T643" s="1">
        <v>68566</v>
      </c>
      <c r="U643" s="5">
        <f t="shared" si="21"/>
        <v>0</v>
      </c>
    </row>
    <row r="644" spans="1:21">
      <c r="A644" s="1" t="s">
        <v>680</v>
      </c>
      <c r="B644" s="1" t="s">
        <v>683</v>
      </c>
      <c r="C644" s="1" t="s">
        <v>45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4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f t="shared" si="20"/>
        <v>0</v>
      </c>
      <c r="T644" s="1">
        <v>47530</v>
      </c>
      <c r="U644" s="5">
        <f t="shared" si="21"/>
        <v>0</v>
      </c>
    </row>
    <row r="645" spans="1:21">
      <c r="A645" s="1" t="s">
        <v>680</v>
      </c>
      <c r="B645" s="1" t="s">
        <v>684</v>
      </c>
      <c r="C645" s="1" t="s">
        <v>27</v>
      </c>
      <c r="D645" s="1">
        <v>0</v>
      </c>
      <c r="E645" s="1">
        <v>1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4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f t="shared" si="20"/>
        <v>2</v>
      </c>
      <c r="T645" s="1">
        <v>73599</v>
      </c>
      <c r="U645" s="5">
        <f t="shared" si="21"/>
        <v>2.71742822592698e-5</v>
      </c>
    </row>
    <row r="646" spans="1:21">
      <c r="A646" s="1" t="s">
        <v>680</v>
      </c>
      <c r="B646" s="1" t="s">
        <v>685</v>
      </c>
      <c r="C646" s="1" t="s">
        <v>30</v>
      </c>
      <c r="D646" s="1">
        <v>1</v>
      </c>
      <c r="E646" s="1">
        <v>1</v>
      </c>
      <c r="F646" s="1">
        <v>0</v>
      </c>
      <c r="G646" s="1">
        <v>0</v>
      </c>
      <c r="H646" s="1">
        <v>0</v>
      </c>
      <c r="I646" s="1">
        <v>2</v>
      </c>
      <c r="J646" s="1">
        <v>0</v>
      </c>
      <c r="K646" s="1">
        <v>0</v>
      </c>
      <c r="L646" s="1">
        <v>0</v>
      </c>
      <c r="M646" s="4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f t="shared" si="20"/>
        <v>8</v>
      </c>
      <c r="T646" s="1">
        <v>73976</v>
      </c>
      <c r="U646" s="5">
        <f t="shared" si="21"/>
        <v>0.000108143181572402</v>
      </c>
    </row>
    <row r="647" spans="1:21">
      <c r="A647" s="1" t="s">
        <v>680</v>
      </c>
      <c r="B647" s="1" t="s">
        <v>686</v>
      </c>
      <c r="C647" s="1" t="s">
        <v>33</v>
      </c>
      <c r="D647" s="1">
        <v>1</v>
      </c>
      <c r="E647" s="1">
        <v>1</v>
      </c>
      <c r="F647" s="1">
        <v>0</v>
      </c>
      <c r="G647" s="1">
        <v>1</v>
      </c>
      <c r="H647" s="1">
        <v>0</v>
      </c>
      <c r="I647" s="1">
        <v>1</v>
      </c>
      <c r="J647" s="1">
        <v>1</v>
      </c>
      <c r="K647" s="1">
        <v>0</v>
      </c>
      <c r="L647" s="1">
        <v>0</v>
      </c>
      <c r="M647" s="4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f t="shared" si="20"/>
        <v>9</v>
      </c>
      <c r="T647" s="1">
        <v>81179</v>
      </c>
      <c r="U647" s="5">
        <f t="shared" si="21"/>
        <v>0.000110866110693652</v>
      </c>
    </row>
    <row r="648" spans="1:21">
      <c r="A648" s="1" t="s">
        <v>680</v>
      </c>
      <c r="B648" s="1" t="s">
        <v>687</v>
      </c>
      <c r="C648" s="1">
        <v>2023</v>
      </c>
      <c r="D648" s="1">
        <v>0</v>
      </c>
      <c r="E648" s="1">
        <v>0</v>
      </c>
      <c r="F648" s="1">
        <v>0</v>
      </c>
      <c r="G648" s="1">
        <v>1</v>
      </c>
      <c r="H648" s="1">
        <v>0</v>
      </c>
      <c r="I648" s="1">
        <v>0</v>
      </c>
      <c r="J648" s="1">
        <v>1</v>
      </c>
      <c r="K648" s="1">
        <v>0</v>
      </c>
      <c r="L648" s="1">
        <v>0</v>
      </c>
      <c r="M648" s="4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f t="shared" si="20"/>
        <v>3</v>
      </c>
      <c r="T648" s="1">
        <v>80176</v>
      </c>
      <c r="U648" s="5">
        <f t="shared" si="21"/>
        <v>3.74176811015765e-5</v>
      </c>
    </row>
    <row r="649" spans="1:21">
      <c r="A649" s="1" t="s">
        <v>680</v>
      </c>
      <c r="B649" s="1" t="s">
        <v>688</v>
      </c>
      <c r="C649" s="1" t="s">
        <v>41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4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f t="shared" si="20"/>
        <v>0</v>
      </c>
      <c r="T649" s="1">
        <v>46800</v>
      </c>
      <c r="U649" s="5">
        <f t="shared" si="21"/>
        <v>0</v>
      </c>
    </row>
    <row r="650" spans="1:21">
      <c r="A650" s="1" t="s">
        <v>680</v>
      </c>
      <c r="B650" s="1" t="s">
        <v>689</v>
      </c>
      <c r="C650" s="1" t="s">
        <v>24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1</v>
      </c>
      <c r="K650" s="1">
        <v>0</v>
      </c>
      <c r="L650" s="1">
        <v>0</v>
      </c>
      <c r="M650" s="4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f t="shared" si="20"/>
        <v>2</v>
      </c>
      <c r="T650" s="1">
        <v>73127</v>
      </c>
      <c r="U650" s="5">
        <f t="shared" si="21"/>
        <v>2.73496793250099e-5</v>
      </c>
    </row>
    <row r="651" spans="1:21">
      <c r="A651" s="1" t="s">
        <v>680</v>
      </c>
      <c r="B651" s="1" t="s">
        <v>690</v>
      </c>
      <c r="C651" s="1" t="s">
        <v>43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4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f t="shared" si="20"/>
        <v>0</v>
      </c>
      <c r="T651" s="1">
        <v>43966</v>
      </c>
      <c r="U651" s="5">
        <f t="shared" si="21"/>
        <v>0</v>
      </c>
    </row>
    <row r="652" spans="1:21">
      <c r="A652" s="1" t="s">
        <v>691</v>
      </c>
      <c r="B652" s="1" t="s">
        <v>692</v>
      </c>
      <c r="C652" s="1" t="s">
        <v>33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4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f t="shared" si="20"/>
        <v>0</v>
      </c>
      <c r="T652" s="1">
        <v>30939</v>
      </c>
      <c r="U652" s="5">
        <f t="shared" si="21"/>
        <v>0</v>
      </c>
    </row>
    <row r="653" spans="1:21">
      <c r="A653" s="1" t="s">
        <v>691</v>
      </c>
      <c r="B653" s="1" t="s">
        <v>693</v>
      </c>
      <c r="C653" s="1" t="s">
        <v>36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4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f t="shared" si="20"/>
        <v>0</v>
      </c>
      <c r="T653" s="1">
        <v>32901</v>
      </c>
      <c r="U653" s="5">
        <f t="shared" si="21"/>
        <v>0</v>
      </c>
    </row>
    <row r="654" spans="1:21">
      <c r="A654" s="1" t="s">
        <v>691</v>
      </c>
      <c r="B654" s="1" t="s">
        <v>694</v>
      </c>
      <c r="C654" s="1" t="s">
        <v>30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4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f t="shared" si="20"/>
        <v>0</v>
      </c>
      <c r="T654" s="1">
        <v>29299</v>
      </c>
      <c r="U654" s="5">
        <f t="shared" si="21"/>
        <v>0</v>
      </c>
    </row>
    <row r="655" spans="1:21">
      <c r="A655" s="1" t="s">
        <v>691</v>
      </c>
      <c r="B655" s="1" t="s">
        <v>695</v>
      </c>
      <c r="C655" s="1">
        <v>2019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4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f t="shared" si="20"/>
        <v>0</v>
      </c>
      <c r="T655" s="1">
        <v>27707</v>
      </c>
      <c r="U655" s="5">
        <f t="shared" si="21"/>
        <v>0</v>
      </c>
    </row>
    <row r="656" spans="1:21">
      <c r="A656" s="1" t="s">
        <v>691</v>
      </c>
      <c r="B656" s="1" t="s">
        <v>696</v>
      </c>
      <c r="C656" s="1">
        <v>2020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4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f t="shared" si="20"/>
        <v>0</v>
      </c>
      <c r="T656" s="1">
        <v>27723</v>
      </c>
      <c r="U656" s="5">
        <f t="shared" si="21"/>
        <v>0</v>
      </c>
    </row>
    <row r="657" spans="1:21">
      <c r="A657" s="1" t="s">
        <v>697</v>
      </c>
      <c r="B657" s="1" t="s">
        <v>698</v>
      </c>
      <c r="C657" s="1" t="s">
        <v>27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4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f t="shared" si="20"/>
        <v>0</v>
      </c>
      <c r="T657" s="1">
        <v>24017</v>
      </c>
      <c r="U657" s="5">
        <f t="shared" si="21"/>
        <v>0</v>
      </c>
    </row>
    <row r="658" spans="1:21">
      <c r="A658" s="1" t="s">
        <v>697</v>
      </c>
      <c r="B658" s="1" t="s">
        <v>699</v>
      </c>
      <c r="C658" s="1" t="s">
        <v>41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4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f t="shared" si="20"/>
        <v>0</v>
      </c>
      <c r="T658" s="1">
        <v>23108</v>
      </c>
      <c r="U658" s="5">
        <f t="shared" si="21"/>
        <v>0</v>
      </c>
    </row>
    <row r="659" spans="1:21">
      <c r="A659" s="1" t="s">
        <v>697</v>
      </c>
      <c r="B659" s="1" t="s">
        <v>700</v>
      </c>
      <c r="C659" s="1" t="s">
        <v>41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4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f t="shared" si="20"/>
        <v>0</v>
      </c>
      <c r="T659" s="1">
        <v>13479</v>
      </c>
      <c r="U659" s="5">
        <f t="shared" si="21"/>
        <v>0</v>
      </c>
    </row>
    <row r="660" spans="1:21">
      <c r="A660" s="1" t="s">
        <v>697</v>
      </c>
      <c r="B660" s="1" t="s">
        <v>701</v>
      </c>
      <c r="C660" s="1" t="s">
        <v>43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4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f t="shared" si="20"/>
        <v>0</v>
      </c>
      <c r="T660" s="1">
        <v>22091</v>
      </c>
      <c r="U660" s="5">
        <f t="shared" si="21"/>
        <v>0</v>
      </c>
    </row>
    <row r="661" spans="1:21">
      <c r="A661" s="1" t="s">
        <v>697</v>
      </c>
      <c r="B661" s="1" t="s">
        <v>702</v>
      </c>
      <c r="C661" s="1" t="s">
        <v>43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4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f t="shared" si="20"/>
        <v>0</v>
      </c>
      <c r="T661" s="1">
        <v>18153</v>
      </c>
      <c r="U661" s="5">
        <f t="shared" si="21"/>
        <v>0</v>
      </c>
    </row>
    <row r="662" spans="1:21">
      <c r="A662" s="1" t="s">
        <v>697</v>
      </c>
      <c r="B662" s="1" t="s">
        <v>703</v>
      </c>
      <c r="C662" s="1" t="s">
        <v>45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4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f t="shared" si="20"/>
        <v>0</v>
      </c>
      <c r="T662" s="1">
        <v>25483</v>
      </c>
      <c r="U662" s="5">
        <f t="shared" si="21"/>
        <v>0</v>
      </c>
    </row>
    <row r="663" spans="1:21">
      <c r="A663" s="1" t="s">
        <v>697</v>
      </c>
      <c r="B663" s="1" t="s">
        <v>704</v>
      </c>
      <c r="C663" s="1" t="s">
        <v>45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4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f t="shared" si="20"/>
        <v>0</v>
      </c>
      <c r="T663" s="1">
        <v>19322</v>
      </c>
      <c r="U663" s="5">
        <f t="shared" si="21"/>
        <v>0</v>
      </c>
    </row>
    <row r="664" spans="1:21">
      <c r="A664" s="1" t="s">
        <v>697</v>
      </c>
      <c r="B664" s="1" t="s">
        <v>705</v>
      </c>
      <c r="C664" s="1" t="s">
        <v>47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4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f t="shared" si="20"/>
        <v>0</v>
      </c>
      <c r="T664" s="1">
        <v>26329</v>
      </c>
      <c r="U664" s="5">
        <f t="shared" si="21"/>
        <v>0</v>
      </c>
    </row>
    <row r="665" spans="1:21">
      <c r="A665" s="1" t="s">
        <v>697</v>
      </c>
      <c r="B665" s="1" t="s">
        <v>706</v>
      </c>
      <c r="C665" s="1" t="s">
        <v>47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4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f t="shared" si="20"/>
        <v>0</v>
      </c>
      <c r="T665" s="1">
        <v>19450</v>
      </c>
      <c r="U665" s="5">
        <f t="shared" si="21"/>
        <v>0</v>
      </c>
    </row>
    <row r="666" spans="1:21">
      <c r="A666" s="1" t="s">
        <v>697</v>
      </c>
      <c r="B666" s="1" t="s">
        <v>707</v>
      </c>
      <c r="C666" s="1" t="s">
        <v>22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4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f t="shared" si="20"/>
        <v>0</v>
      </c>
      <c r="T666" s="1">
        <v>24883</v>
      </c>
      <c r="U666" s="5">
        <f t="shared" si="21"/>
        <v>0</v>
      </c>
    </row>
    <row r="667" spans="1:21">
      <c r="A667" s="1" t="s">
        <v>697</v>
      </c>
      <c r="B667" s="1" t="s">
        <v>708</v>
      </c>
      <c r="C667" s="1" t="s">
        <v>22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4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f t="shared" si="20"/>
        <v>0</v>
      </c>
      <c r="T667" s="1">
        <v>19909</v>
      </c>
      <c r="U667" s="5">
        <f t="shared" si="21"/>
        <v>0</v>
      </c>
    </row>
    <row r="668" spans="1:21">
      <c r="A668" s="1" t="s">
        <v>697</v>
      </c>
      <c r="B668" s="1" t="s">
        <v>709</v>
      </c>
      <c r="C668" s="1" t="s">
        <v>24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4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f t="shared" si="20"/>
        <v>0</v>
      </c>
      <c r="T668" s="1">
        <v>25167</v>
      </c>
      <c r="U668" s="5">
        <f t="shared" si="21"/>
        <v>0</v>
      </c>
    </row>
    <row r="669" spans="1:21">
      <c r="A669" s="1" t="s">
        <v>697</v>
      </c>
      <c r="B669" s="1" t="s">
        <v>710</v>
      </c>
      <c r="C669" s="1" t="s">
        <v>24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4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f t="shared" si="20"/>
        <v>0</v>
      </c>
      <c r="T669" s="1">
        <v>20335</v>
      </c>
      <c r="U669" s="5">
        <f t="shared" si="21"/>
        <v>0</v>
      </c>
    </row>
    <row r="670" spans="1:21">
      <c r="A670" s="1" t="s">
        <v>697</v>
      </c>
      <c r="B670" s="1" t="s">
        <v>711</v>
      </c>
      <c r="C670" s="1" t="s">
        <v>33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4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f t="shared" si="20"/>
        <v>0</v>
      </c>
      <c r="T670" s="1">
        <v>22472</v>
      </c>
      <c r="U670" s="5">
        <f t="shared" si="21"/>
        <v>0</v>
      </c>
    </row>
    <row r="671" spans="1:21">
      <c r="A671" s="1" t="s">
        <v>697</v>
      </c>
      <c r="B671" s="1" t="s">
        <v>712</v>
      </c>
      <c r="C671" s="1" t="s">
        <v>30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4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f t="shared" si="20"/>
        <v>0</v>
      </c>
      <c r="T671" s="1">
        <v>22132</v>
      </c>
      <c r="U671" s="5">
        <f t="shared" si="21"/>
        <v>0</v>
      </c>
    </row>
    <row r="672" spans="1:21">
      <c r="A672" s="1" t="s">
        <v>697</v>
      </c>
      <c r="B672" s="1" t="s">
        <v>713</v>
      </c>
      <c r="C672" s="1" t="s">
        <v>30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4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f t="shared" si="20"/>
        <v>0</v>
      </c>
      <c r="T672" s="1">
        <v>4430</v>
      </c>
      <c r="U672" s="5">
        <f t="shared" si="21"/>
        <v>0</v>
      </c>
    </row>
    <row r="673" spans="1:21">
      <c r="A673" s="1" t="s">
        <v>697</v>
      </c>
      <c r="B673" s="1" t="s">
        <v>714</v>
      </c>
      <c r="C673" s="1" t="s">
        <v>36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4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f t="shared" si="20"/>
        <v>0</v>
      </c>
      <c r="T673" s="1">
        <v>34471</v>
      </c>
      <c r="U673" s="5">
        <f t="shared" si="21"/>
        <v>0</v>
      </c>
    </row>
    <row r="674" spans="1:21">
      <c r="A674" s="1" t="s">
        <v>697</v>
      </c>
      <c r="B674" s="1" t="s">
        <v>715</v>
      </c>
      <c r="C674" s="1" t="s">
        <v>47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4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f t="shared" si="20"/>
        <v>0</v>
      </c>
      <c r="T674" s="1">
        <v>5075</v>
      </c>
      <c r="U674" s="5">
        <f t="shared" si="21"/>
        <v>0</v>
      </c>
    </row>
    <row r="675" spans="1:21">
      <c r="A675" s="1" t="s">
        <v>697</v>
      </c>
      <c r="B675" s="1" t="s">
        <v>716</v>
      </c>
      <c r="C675" s="1" t="s">
        <v>33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4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f t="shared" si="20"/>
        <v>0</v>
      </c>
      <c r="T675" s="1">
        <v>23495</v>
      </c>
      <c r="U675" s="5">
        <f t="shared" si="21"/>
        <v>0</v>
      </c>
    </row>
    <row r="676" spans="1:21">
      <c r="A676" s="1" t="s">
        <v>717</v>
      </c>
      <c r="B676" s="1" t="s">
        <v>718</v>
      </c>
      <c r="C676" s="1" t="s">
        <v>45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4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f t="shared" si="20"/>
        <v>0</v>
      </c>
      <c r="T676" s="1">
        <v>47710</v>
      </c>
      <c r="U676" s="5">
        <f t="shared" si="21"/>
        <v>0</v>
      </c>
    </row>
    <row r="677" spans="1:21">
      <c r="A677" s="1" t="s">
        <v>717</v>
      </c>
      <c r="B677" s="1" t="s">
        <v>719</v>
      </c>
      <c r="C677" s="1" t="s">
        <v>22</v>
      </c>
      <c r="D677" s="1">
        <v>8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4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f t="shared" si="20"/>
        <v>16</v>
      </c>
      <c r="T677" s="1">
        <v>53556</v>
      </c>
      <c r="U677" s="5">
        <f t="shared" si="21"/>
        <v>0.000298752707446411</v>
      </c>
    </row>
    <row r="678" spans="1:21">
      <c r="A678" s="1" t="s">
        <v>717</v>
      </c>
      <c r="B678" s="1" t="s">
        <v>720</v>
      </c>
      <c r="C678" s="1" t="s">
        <v>24</v>
      </c>
      <c r="D678" s="1">
        <v>3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4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f t="shared" si="20"/>
        <v>6</v>
      </c>
      <c r="T678" s="1">
        <v>57331</v>
      </c>
      <c r="U678" s="5">
        <f t="shared" si="21"/>
        <v>0.000104655422022989</v>
      </c>
    </row>
    <row r="679" spans="1:21">
      <c r="A679" s="1" t="s">
        <v>717</v>
      </c>
      <c r="B679" s="1" t="s">
        <v>721</v>
      </c>
      <c r="C679" s="1" t="s">
        <v>27</v>
      </c>
      <c r="D679" s="1">
        <v>6</v>
      </c>
      <c r="E679" s="1">
        <v>0</v>
      </c>
      <c r="F679" s="1">
        <v>0</v>
      </c>
      <c r="G679" s="1">
        <v>4</v>
      </c>
      <c r="H679" s="1">
        <v>0</v>
      </c>
      <c r="I679" s="1">
        <v>0</v>
      </c>
      <c r="J679" s="1">
        <v>1</v>
      </c>
      <c r="K679" s="1">
        <v>0</v>
      </c>
      <c r="L679" s="1">
        <v>0</v>
      </c>
      <c r="M679" s="4">
        <v>0</v>
      </c>
      <c r="N679" s="1">
        <v>0</v>
      </c>
      <c r="O679" s="1">
        <v>0</v>
      </c>
      <c r="P679" s="1">
        <v>0</v>
      </c>
      <c r="Q679" s="1">
        <v>0</v>
      </c>
      <c r="R679" s="1">
        <v>1</v>
      </c>
      <c r="S679" s="1">
        <f t="shared" si="20"/>
        <v>20</v>
      </c>
      <c r="T679" s="1">
        <v>61651</v>
      </c>
      <c r="U679" s="5">
        <f t="shared" si="21"/>
        <v>0.000324406741172082</v>
      </c>
    </row>
    <row r="680" spans="1:21">
      <c r="A680" s="1" t="s">
        <v>717</v>
      </c>
      <c r="B680" s="1" t="s">
        <v>722</v>
      </c>
      <c r="C680" s="1" t="s">
        <v>43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4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f t="shared" si="20"/>
        <v>0</v>
      </c>
      <c r="T680" s="1">
        <v>39903</v>
      </c>
      <c r="U680" s="5">
        <f t="shared" si="21"/>
        <v>0</v>
      </c>
    </row>
    <row r="681" spans="1:21">
      <c r="A681" s="1" t="s">
        <v>717</v>
      </c>
      <c r="B681" s="1" t="s">
        <v>723</v>
      </c>
      <c r="C681" s="1" t="s">
        <v>47</v>
      </c>
      <c r="D681" s="1">
        <v>1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4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f t="shared" si="20"/>
        <v>2</v>
      </c>
      <c r="T681" s="1">
        <v>32876</v>
      </c>
      <c r="U681" s="5">
        <f t="shared" si="21"/>
        <v>6.08346514174474e-5</v>
      </c>
    </row>
    <row r="682" spans="1:21">
      <c r="A682" s="1" t="s">
        <v>717</v>
      </c>
      <c r="B682" s="1" t="s">
        <v>724</v>
      </c>
      <c r="C682" s="1">
        <v>2021</v>
      </c>
      <c r="D682" s="1">
        <v>6</v>
      </c>
      <c r="E682" s="1">
        <v>1</v>
      </c>
      <c r="F682" s="1">
        <v>0</v>
      </c>
      <c r="G682" s="1">
        <v>0</v>
      </c>
      <c r="H682" s="1">
        <v>0</v>
      </c>
      <c r="I682" s="1">
        <v>0</v>
      </c>
      <c r="J682" s="1">
        <v>1</v>
      </c>
      <c r="K682" s="1">
        <v>0</v>
      </c>
      <c r="L682" s="1">
        <v>0</v>
      </c>
      <c r="M682" s="4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f t="shared" si="20"/>
        <v>16</v>
      </c>
      <c r="T682" s="1">
        <v>61204</v>
      </c>
      <c r="U682" s="5">
        <f t="shared" si="21"/>
        <v>0.000261420822168486</v>
      </c>
    </row>
    <row r="683" spans="1:21">
      <c r="A683" s="1" t="s">
        <v>717</v>
      </c>
      <c r="B683" s="1" t="s">
        <v>725</v>
      </c>
      <c r="C683" s="1">
        <v>2022</v>
      </c>
      <c r="D683" s="1">
        <v>2</v>
      </c>
      <c r="E683" s="1">
        <v>0</v>
      </c>
      <c r="F683" s="1">
        <v>0</v>
      </c>
      <c r="G683" s="1">
        <v>7</v>
      </c>
      <c r="H683" s="1">
        <v>0</v>
      </c>
      <c r="I683" s="1">
        <v>0</v>
      </c>
      <c r="J683" s="1">
        <v>2</v>
      </c>
      <c r="K683" s="1">
        <v>0</v>
      </c>
      <c r="L683" s="1">
        <v>0</v>
      </c>
      <c r="M683" s="4">
        <v>0</v>
      </c>
      <c r="N683" s="1">
        <v>0</v>
      </c>
      <c r="O683" s="1">
        <v>0</v>
      </c>
      <c r="P683" s="1">
        <v>1</v>
      </c>
      <c r="Q683" s="1">
        <v>0</v>
      </c>
      <c r="R683" s="1">
        <v>0</v>
      </c>
      <c r="S683" s="1">
        <f t="shared" si="20"/>
        <v>17</v>
      </c>
      <c r="T683" s="1">
        <v>79413</v>
      </c>
      <c r="U683" s="5">
        <f t="shared" si="21"/>
        <v>0.000214070744084722</v>
      </c>
    </row>
    <row r="684" spans="1:21">
      <c r="A684" s="1" t="s">
        <v>717</v>
      </c>
      <c r="B684" s="1" t="s">
        <v>726</v>
      </c>
      <c r="C684" s="1">
        <v>2023</v>
      </c>
      <c r="D684" s="1">
        <v>0</v>
      </c>
      <c r="E684" s="1">
        <v>0</v>
      </c>
      <c r="F684" s="1">
        <v>0</v>
      </c>
      <c r="G684" s="1">
        <v>5</v>
      </c>
      <c r="H684" s="1">
        <v>0</v>
      </c>
      <c r="I684" s="1">
        <v>2</v>
      </c>
      <c r="J684" s="1">
        <v>3</v>
      </c>
      <c r="K684" s="1">
        <v>0</v>
      </c>
      <c r="L684" s="1">
        <v>0</v>
      </c>
      <c r="M684" s="4">
        <v>0</v>
      </c>
      <c r="N684" s="1">
        <v>0</v>
      </c>
      <c r="O684" s="1">
        <v>0</v>
      </c>
      <c r="P684" s="1">
        <v>1</v>
      </c>
      <c r="Q684" s="1">
        <v>0</v>
      </c>
      <c r="R684" s="1">
        <v>0</v>
      </c>
      <c r="S684" s="1">
        <f t="shared" si="20"/>
        <v>17</v>
      </c>
      <c r="T684" s="1">
        <v>87620</v>
      </c>
      <c r="U684" s="5">
        <f t="shared" si="21"/>
        <v>0.000194019630221411</v>
      </c>
    </row>
    <row r="685" spans="1:21">
      <c r="A685" s="1" t="s">
        <v>717</v>
      </c>
      <c r="B685" s="1" t="s">
        <v>727</v>
      </c>
      <c r="C685" s="1" t="s">
        <v>41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4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f t="shared" si="20"/>
        <v>0</v>
      </c>
      <c r="T685" s="1">
        <v>38934</v>
      </c>
      <c r="U685" s="5">
        <f t="shared" si="21"/>
        <v>0</v>
      </c>
    </row>
    <row r="686" spans="1:21">
      <c r="A686" s="1" t="s">
        <v>728</v>
      </c>
      <c r="B686" s="1" t="s">
        <v>729</v>
      </c>
      <c r="C686" s="1" t="s">
        <v>41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4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f t="shared" si="20"/>
        <v>0</v>
      </c>
      <c r="T686" s="1">
        <v>45941</v>
      </c>
      <c r="U686" s="5">
        <f t="shared" si="21"/>
        <v>0</v>
      </c>
    </row>
    <row r="687" spans="1:21">
      <c r="A687" s="1" t="s">
        <v>728</v>
      </c>
      <c r="B687" s="1" t="s">
        <v>730</v>
      </c>
      <c r="C687" s="1" t="s">
        <v>43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4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f t="shared" si="20"/>
        <v>0</v>
      </c>
      <c r="T687" s="1">
        <v>47735</v>
      </c>
      <c r="U687" s="5">
        <f t="shared" si="21"/>
        <v>0</v>
      </c>
    </row>
    <row r="688" spans="1:21">
      <c r="A688" s="1" t="s">
        <v>728</v>
      </c>
      <c r="B688" s="1" t="s">
        <v>731</v>
      </c>
      <c r="C688" s="1" t="s">
        <v>45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1</v>
      </c>
      <c r="L688" s="1">
        <v>0</v>
      </c>
      <c r="M688" s="4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f t="shared" si="20"/>
        <v>2</v>
      </c>
      <c r="T688" s="1">
        <v>50158</v>
      </c>
      <c r="U688" s="5">
        <f t="shared" si="21"/>
        <v>3.98739981657961e-5</v>
      </c>
    </row>
    <row r="689" spans="1:21">
      <c r="A689" s="1" t="s">
        <v>728</v>
      </c>
      <c r="B689" s="1" t="s">
        <v>732</v>
      </c>
      <c r="C689" s="1" t="s">
        <v>47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4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f t="shared" si="20"/>
        <v>0</v>
      </c>
      <c r="T689" s="1">
        <v>49218</v>
      </c>
      <c r="U689" s="5">
        <f t="shared" si="21"/>
        <v>0</v>
      </c>
    </row>
    <row r="690" spans="1:21">
      <c r="A690" s="1" t="s">
        <v>728</v>
      </c>
      <c r="B690" s="1" t="s">
        <v>733</v>
      </c>
      <c r="C690" s="1" t="s">
        <v>22</v>
      </c>
      <c r="D690" s="1">
        <v>0</v>
      </c>
      <c r="E690" s="1">
        <v>1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4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f t="shared" si="20"/>
        <v>2</v>
      </c>
      <c r="T690" s="1">
        <v>52955</v>
      </c>
      <c r="U690" s="5">
        <f t="shared" si="21"/>
        <v>3.77679161552261e-5</v>
      </c>
    </row>
    <row r="691" spans="1:21">
      <c r="A691" s="1" t="s">
        <v>728</v>
      </c>
      <c r="B691" s="1" t="s">
        <v>734</v>
      </c>
      <c r="C691" s="1" t="s">
        <v>24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4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f t="shared" si="20"/>
        <v>0</v>
      </c>
      <c r="T691" s="1">
        <v>52266</v>
      </c>
      <c r="U691" s="5">
        <f t="shared" si="21"/>
        <v>0</v>
      </c>
    </row>
    <row r="692" spans="1:21">
      <c r="A692" s="1" t="s">
        <v>728</v>
      </c>
      <c r="B692" s="1" t="s">
        <v>735</v>
      </c>
      <c r="C692" s="1" t="s">
        <v>27</v>
      </c>
      <c r="D692" s="1">
        <v>11</v>
      </c>
      <c r="E692" s="1">
        <v>3</v>
      </c>
      <c r="F692" s="1">
        <v>0</v>
      </c>
      <c r="G692" s="1">
        <v>1</v>
      </c>
      <c r="H692" s="1">
        <v>0</v>
      </c>
      <c r="I692" s="1">
        <v>1</v>
      </c>
      <c r="J692" s="1">
        <v>2</v>
      </c>
      <c r="K692" s="1">
        <v>2</v>
      </c>
      <c r="L692" s="1">
        <v>0</v>
      </c>
      <c r="M692" s="4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f t="shared" si="20"/>
        <v>39</v>
      </c>
      <c r="T692" s="1">
        <v>53066</v>
      </c>
      <c r="U692" s="5">
        <f t="shared" si="21"/>
        <v>0.000734933855952964</v>
      </c>
    </row>
    <row r="693" spans="1:21">
      <c r="A693" s="1" t="s">
        <v>728</v>
      </c>
      <c r="B693" s="1" t="s">
        <v>736</v>
      </c>
      <c r="C693" s="1" t="s">
        <v>30</v>
      </c>
      <c r="D693" s="1">
        <v>1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4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f t="shared" si="20"/>
        <v>2</v>
      </c>
      <c r="T693" s="1">
        <v>55898</v>
      </c>
      <c r="U693" s="5">
        <f t="shared" si="21"/>
        <v>3.57794554366883e-5</v>
      </c>
    </row>
    <row r="694" spans="1:21">
      <c r="A694" s="1" t="s">
        <v>728</v>
      </c>
      <c r="B694" s="1" t="s">
        <v>737</v>
      </c>
      <c r="C694" s="1" t="s">
        <v>33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4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f t="shared" si="20"/>
        <v>0</v>
      </c>
      <c r="T694" s="1">
        <v>54421</v>
      </c>
      <c r="U694" s="5">
        <f t="shared" si="21"/>
        <v>0</v>
      </c>
    </row>
    <row r="695" spans="1:21">
      <c r="A695" s="1" t="s">
        <v>728</v>
      </c>
      <c r="B695" s="1" t="s">
        <v>738</v>
      </c>
      <c r="C695" s="1" t="s">
        <v>36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4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f t="shared" si="20"/>
        <v>0</v>
      </c>
      <c r="T695" s="1">
        <v>48882</v>
      </c>
      <c r="U695" s="5">
        <f t="shared" si="21"/>
        <v>0</v>
      </c>
    </row>
    <row r="696" spans="1:21">
      <c r="A696" s="1" t="s">
        <v>739</v>
      </c>
      <c r="B696" s="1" t="s">
        <v>181</v>
      </c>
      <c r="C696" s="1" t="s">
        <v>36</v>
      </c>
      <c r="D696" s="1">
        <v>1</v>
      </c>
      <c r="E696" s="1">
        <v>0</v>
      </c>
      <c r="F696" s="1">
        <v>0</v>
      </c>
      <c r="G696" s="1">
        <v>0</v>
      </c>
      <c r="H696" s="1">
        <v>0</v>
      </c>
      <c r="I696" s="1">
        <v>1</v>
      </c>
      <c r="J696" s="1">
        <v>1</v>
      </c>
      <c r="K696" s="1">
        <v>0</v>
      </c>
      <c r="L696" s="1">
        <v>0</v>
      </c>
      <c r="M696" s="4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f t="shared" si="20"/>
        <v>6</v>
      </c>
      <c r="T696" s="1">
        <v>49885</v>
      </c>
      <c r="U696" s="5">
        <f t="shared" si="21"/>
        <v>0.000120276636263406</v>
      </c>
    </row>
    <row r="697" spans="1:21">
      <c r="A697" s="1" t="s">
        <v>739</v>
      </c>
      <c r="B697" s="1" t="s">
        <v>740</v>
      </c>
      <c r="C697" s="1" t="s">
        <v>43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4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f t="shared" si="20"/>
        <v>0</v>
      </c>
      <c r="T697" s="1">
        <v>49184</v>
      </c>
      <c r="U697" s="5">
        <f t="shared" si="21"/>
        <v>0</v>
      </c>
    </row>
    <row r="698" spans="1:21">
      <c r="A698" s="1" t="s">
        <v>739</v>
      </c>
      <c r="B698" s="1" t="s">
        <v>741</v>
      </c>
      <c r="C698" s="1" t="s">
        <v>45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1</v>
      </c>
      <c r="L698" s="1">
        <v>0</v>
      </c>
      <c r="M698" s="4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f t="shared" si="20"/>
        <v>2</v>
      </c>
      <c r="T698" s="1">
        <v>46057</v>
      </c>
      <c r="U698" s="5">
        <f t="shared" si="21"/>
        <v>4.34244523090953e-5</v>
      </c>
    </row>
    <row r="699" spans="1:21">
      <c r="A699" s="1" t="s">
        <v>739</v>
      </c>
      <c r="B699" s="1" t="s">
        <v>742</v>
      </c>
      <c r="C699" s="1" t="s">
        <v>47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4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f t="shared" si="20"/>
        <v>0</v>
      </c>
      <c r="T699" s="1">
        <v>46057</v>
      </c>
      <c r="U699" s="5">
        <f t="shared" si="21"/>
        <v>0</v>
      </c>
    </row>
    <row r="700" spans="1:21">
      <c r="A700" s="1" t="s">
        <v>739</v>
      </c>
      <c r="B700" s="1" t="s">
        <v>743</v>
      </c>
      <c r="C700" s="1" t="s">
        <v>22</v>
      </c>
      <c r="D700" s="1">
        <v>0</v>
      </c>
      <c r="E700" s="1">
        <v>0</v>
      </c>
      <c r="F700" s="1">
        <v>0</v>
      </c>
      <c r="G700" s="1">
        <v>0</v>
      </c>
      <c r="H700" s="1">
        <v>2</v>
      </c>
      <c r="I700" s="1">
        <v>0</v>
      </c>
      <c r="J700" s="1">
        <v>0</v>
      </c>
      <c r="K700" s="1">
        <v>0</v>
      </c>
      <c r="L700" s="1">
        <v>0</v>
      </c>
      <c r="M700" s="4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f t="shared" si="20"/>
        <v>4</v>
      </c>
      <c r="T700" s="1">
        <v>49863</v>
      </c>
      <c r="U700" s="5">
        <f t="shared" si="21"/>
        <v>8.02198022581874e-5</v>
      </c>
    </row>
    <row r="701" spans="1:21">
      <c r="A701" s="1" t="s">
        <v>739</v>
      </c>
      <c r="B701" s="1" t="s">
        <v>744</v>
      </c>
      <c r="C701" s="1" t="s">
        <v>24</v>
      </c>
      <c r="D701" s="1">
        <v>0</v>
      </c>
      <c r="E701" s="1">
        <v>0</v>
      </c>
      <c r="F701" s="1">
        <v>0</v>
      </c>
      <c r="G701" s="1">
        <v>0</v>
      </c>
      <c r="H701" s="1">
        <v>2</v>
      </c>
      <c r="I701" s="1">
        <v>0</v>
      </c>
      <c r="J701" s="1">
        <v>0</v>
      </c>
      <c r="K701" s="1">
        <v>0</v>
      </c>
      <c r="L701" s="1">
        <v>0</v>
      </c>
      <c r="M701" s="4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f t="shared" si="20"/>
        <v>4</v>
      </c>
      <c r="T701" s="1">
        <v>50455</v>
      </c>
      <c r="U701" s="5">
        <f t="shared" si="21"/>
        <v>7.92785650579725e-5</v>
      </c>
    </row>
    <row r="702" spans="1:21">
      <c r="A702" s="1" t="s">
        <v>739</v>
      </c>
      <c r="B702" s="1" t="s">
        <v>745</v>
      </c>
      <c r="C702" s="1" t="s">
        <v>27</v>
      </c>
      <c r="D702" s="1">
        <v>0</v>
      </c>
      <c r="E702" s="1">
        <v>0</v>
      </c>
      <c r="F702" s="1">
        <v>0</v>
      </c>
      <c r="G702" s="1">
        <v>2</v>
      </c>
      <c r="H702" s="1">
        <v>2</v>
      </c>
      <c r="I702" s="1">
        <v>0</v>
      </c>
      <c r="J702" s="1">
        <v>0</v>
      </c>
      <c r="K702" s="1">
        <v>0</v>
      </c>
      <c r="L702" s="1">
        <v>0</v>
      </c>
      <c r="M702" s="4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f t="shared" si="20"/>
        <v>6</v>
      </c>
      <c r="T702" s="1">
        <v>54150</v>
      </c>
      <c r="U702" s="5">
        <f t="shared" si="21"/>
        <v>0.000110803324099723</v>
      </c>
    </row>
    <row r="703" spans="1:21">
      <c r="A703" s="1" t="s">
        <v>739</v>
      </c>
      <c r="B703" s="1" t="s">
        <v>746</v>
      </c>
      <c r="C703" s="1" t="s">
        <v>30</v>
      </c>
      <c r="D703" s="1">
        <v>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4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f t="shared" si="20"/>
        <v>2</v>
      </c>
      <c r="T703" s="1">
        <v>56299</v>
      </c>
      <c r="U703" s="5">
        <f t="shared" si="21"/>
        <v>3.55246096733512e-5</v>
      </c>
    </row>
    <row r="704" spans="1:21">
      <c r="A704" s="1" t="s">
        <v>739</v>
      </c>
      <c r="B704" s="1" t="s">
        <v>747</v>
      </c>
      <c r="C704" s="1" t="s">
        <v>33</v>
      </c>
      <c r="D704" s="1">
        <v>1</v>
      </c>
      <c r="E704" s="1">
        <v>0</v>
      </c>
      <c r="F704" s="1">
        <v>0</v>
      </c>
      <c r="G704" s="1">
        <v>0</v>
      </c>
      <c r="H704" s="1">
        <v>0</v>
      </c>
      <c r="I704" s="1">
        <v>1</v>
      </c>
      <c r="J704" s="1">
        <v>0</v>
      </c>
      <c r="K704" s="1">
        <v>0</v>
      </c>
      <c r="L704" s="1">
        <v>0</v>
      </c>
      <c r="M704" s="4">
        <v>0</v>
      </c>
      <c r="N704" s="1">
        <v>0</v>
      </c>
      <c r="O704" s="1">
        <v>0</v>
      </c>
      <c r="P704" s="1">
        <v>1</v>
      </c>
      <c r="Q704" s="1">
        <v>0</v>
      </c>
      <c r="R704" s="1">
        <v>0</v>
      </c>
      <c r="S704" s="1">
        <f t="shared" si="20"/>
        <v>6</v>
      </c>
      <c r="T704" s="1">
        <v>60596</v>
      </c>
      <c r="U704" s="5">
        <f t="shared" si="21"/>
        <v>9.90164367284969e-5</v>
      </c>
    </row>
    <row r="705" spans="1:21">
      <c r="A705" s="1" t="s">
        <v>748</v>
      </c>
      <c r="B705" s="1" t="s">
        <v>749</v>
      </c>
      <c r="C705" s="1" t="s">
        <v>41</v>
      </c>
      <c r="D705" s="1">
        <v>0</v>
      </c>
      <c r="E705" s="1">
        <v>0</v>
      </c>
      <c r="F705" s="1">
        <v>0</v>
      </c>
      <c r="G705" s="1">
        <v>0</v>
      </c>
      <c r="H705" s="1">
        <v>2</v>
      </c>
      <c r="I705" s="1">
        <v>0</v>
      </c>
      <c r="J705" s="1">
        <v>0</v>
      </c>
      <c r="K705" s="1">
        <v>0</v>
      </c>
      <c r="L705" s="1">
        <v>0</v>
      </c>
      <c r="M705" s="4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f t="shared" si="20"/>
        <v>4</v>
      </c>
      <c r="T705" s="1">
        <v>66401</v>
      </c>
      <c r="U705" s="5">
        <f t="shared" si="21"/>
        <v>6.02400566256532e-5</v>
      </c>
    </row>
    <row r="706" spans="1:21">
      <c r="A706" s="1" t="s">
        <v>748</v>
      </c>
      <c r="B706" s="1" t="s">
        <v>750</v>
      </c>
      <c r="C706" s="1" t="s">
        <v>43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4">
        <v>0</v>
      </c>
      <c r="N706" s="1">
        <v>0</v>
      </c>
      <c r="O706" s="1">
        <v>0</v>
      </c>
      <c r="P706" s="1">
        <v>0</v>
      </c>
      <c r="Q706" s="1">
        <v>0</v>
      </c>
      <c r="R706" s="1">
        <v>1</v>
      </c>
      <c r="S706" s="1">
        <f t="shared" ref="S706:S769" si="22">D706*2+E706*2+F706*2+G706*1+H706*2+I706*2+J706*2+K706*2+L706*2+M706*2+N706*2+O706*2+P706*2+Q706*2+R706*2</f>
        <v>2</v>
      </c>
      <c r="T706" s="1">
        <v>68173</v>
      </c>
      <c r="U706" s="5">
        <f t="shared" ref="U706:U769" si="23">S706/T706</f>
        <v>2.93371276018365e-5</v>
      </c>
    </row>
    <row r="707" spans="1:21">
      <c r="A707" s="1" t="s">
        <v>748</v>
      </c>
      <c r="B707" s="1" t="s">
        <v>751</v>
      </c>
      <c r="C707" s="1" t="s">
        <v>45</v>
      </c>
      <c r="D707" s="1">
        <v>5</v>
      </c>
      <c r="E707" s="1">
        <v>0</v>
      </c>
      <c r="F707" s="1">
        <v>0</v>
      </c>
      <c r="G707" s="1">
        <v>0</v>
      </c>
      <c r="H707" s="1">
        <v>0</v>
      </c>
      <c r="I707" s="1">
        <v>1</v>
      </c>
      <c r="J707" s="1">
        <v>0</v>
      </c>
      <c r="K707" s="1">
        <v>0</v>
      </c>
      <c r="L707" s="1">
        <v>1</v>
      </c>
      <c r="M707" s="4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f t="shared" si="22"/>
        <v>14</v>
      </c>
      <c r="T707" s="1">
        <v>70373</v>
      </c>
      <c r="U707" s="5">
        <f t="shared" si="23"/>
        <v>0.000198939934349822</v>
      </c>
    </row>
    <row r="708" spans="1:21">
      <c r="A708" s="1" t="s">
        <v>748</v>
      </c>
      <c r="B708" s="1" t="s">
        <v>752</v>
      </c>
      <c r="C708" s="1" t="s">
        <v>47</v>
      </c>
      <c r="D708" s="1">
        <v>9</v>
      </c>
      <c r="E708" s="1">
        <v>0</v>
      </c>
      <c r="F708" s="1">
        <v>0</v>
      </c>
      <c r="G708" s="1">
        <v>0</v>
      </c>
      <c r="H708" s="1">
        <v>1</v>
      </c>
      <c r="I708" s="1">
        <v>1</v>
      </c>
      <c r="J708" s="1">
        <v>0</v>
      </c>
      <c r="K708" s="1">
        <v>0</v>
      </c>
      <c r="L708" s="1">
        <v>1</v>
      </c>
      <c r="M708" s="4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f t="shared" si="22"/>
        <v>24</v>
      </c>
      <c r="T708" s="1">
        <v>54931</v>
      </c>
      <c r="U708" s="5">
        <f t="shared" si="23"/>
        <v>0.000436911762028727</v>
      </c>
    </row>
    <row r="709" spans="1:21">
      <c r="A709" s="1" t="s">
        <v>748</v>
      </c>
      <c r="B709" s="1" t="s">
        <v>753</v>
      </c>
      <c r="C709" s="1" t="s">
        <v>22</v>
      </c>
      <c r="D709" s="1">
        <v>11</v>
      </c>
      <c r="E709" s="1">
        <v>0</v>
      </c>
      <c r="F709" s="1">
        <v>0</v>
      </c>
      <c r="G709" s="1">
        <v>7</v>
      </c>
      <c r="H709" s="1">
        <v>0</v>
      </c>
      <c r="I709" s="1">
        <v>1</v>
      </c>
      <c r="J709" s="1">
        <v>1</v>
      </c>
      <c r="K709" s="1">
        <v>0</v>
      </c>
      <c r="L709" s="1">
        <v>0</v>
      </c>
      <c r="M709" s="4">
        <v>0</v>
      </c>
      <c r="N709" s="1">
        <v>0</v>
      </c>
      <c r="O709" s="1">
        <v>0</v>
      </c>
      <c r="P709" s="1">
        <v>0</v>
      </c>
      <c r="Q709" s="1">
        <v>0</v>
      </c>
      <c r="R709" s="1">
        <v>1</v>
      </c>
      <c r="S709" s="1">
        <f t="shared" si="22"/>
        <v>35</v>
      </c>
      <c r="T709" s="1">
        <v>57453</v>
      </c>
      <c r="U709" s="5">
        <f t="shared" si="23"/>
        <v>0.000609193601726629</v>
      </c>
    </row>
    <row r="710" spans="1:21">
      <c r="A710" s="1" t="s">
        <v>748</v>
      </c>
      <c r="B710" s="1" t="s">
        <v>754</v>
      </c>
      <c r="C710" s="1" t="s">
        <v>24</v>
      </c>
      <c r="D710" s="1">
        <v>7</v>
      </c>
      <c r="E710" s="1">
        <v>0</v>
      </c>
      <c r="F710" s="1">
        <v>0</v>
      </c>
      <c r="G710" s="1">
        <v>4</v>
      </c>
      <c r="H710" s="1">
        <v>0</v>
      </c>
      <c r="I710" s="1">
        <v>1</v>
      </c>
      <c r="J710" s="1">
        <v>0</v>
      </c>
      <c r="K710" s="1">
        <v>0</v>
      </c>
      <c r="L710" s="1">
        <v>0</v>
      </c>
      <c r="M710" s="4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f t="shared" si="22"/>
        <v>20</v>
      </c>
      <c r="T710" s="1">
        <v>56836</v>
      </c>
      <c r="U710" s="5">
        <f t="shared" si="23"/>
        <v>0.000351889647406573</v>
      </c>
    </row>
    <row r="711" spans="1:21">
      <c r="A711" s="1" t="s">
        <v>748</v>
      </c>
      <c r="B711" s="1" t="s">
        <v>755</v>
      </c>
      <c r="C711" s="1" t="s">
        <v>27</v>
      </c>
      <c r="D711" s="1">
        <v>6</v>
      </c>
      <c r="E711" s="1">
        <v>0</v>
      </c>
      <c r="F711" s="1">
        <v>0</v>
      </c>
      <c r="G711" s="1">
        <v>4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4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f t="shared" si="22"/>
        <v>16</v>
      </c>
      <c r="T711" s="1">
        <v>55087</v>
      </c>
      <c r="U711" s="5">
        <f t="shared" si="23"/>
        <v>0.000290449652368072</v>
      </c>
    </row>
    <row r="712" spans="1:21">
      <c r="A712" s="1" t="s">
        <v>748</v>
      </c>
      <c r="B712" s="1" t="s">
        <v>756</v>
      </c>
      <c r="C712" s="1" t="s">
        <v>30</v>
      </c>
      <c r="D712" s="1">
        <v>9</v>
      </c>
      <c r="E712" s="1">
        <v>0</v>
      </c>
      <c r="F712" s="1">
        <v>0</v>
      </c>
      <c r="G712" s="1">
        <v>9</v>
      </c>
      <c r="H712" s="1">
        <v>0</v>
      </c>
      <c r="I712" s="1">
        <v>1</v>
      </c>
      <c r="J712" s="1">
        <v>0</v>
      </c>
      <c r="K712" s="1">
        <v>0</v>
      </c>
      <c r="L712" s="1">
        <v>0</v>
      </c>
      <c r="M712" s="4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f t="shared" si="22"/>
        <v>29</v>
      </c>
      <c r="T712" s="1">
        <v>57248</v>
      </c>
      <c r="U712" s="5">
        <f t="shared" si="23"/>
        <v>0.000506567915036333</v>
      </c>
    </row>
    <row r="713" spans="1:21">
      <c r="A713" s="1" t="s">
        <v>748</v>
      </c>
      <c r="B713" s="1" t="s">
        <v>757</v>
      </c>
      <c r="C713" s="1" t="s">
        <v>33</v>
      </c>
      <c r="D713" s="1">
        <v>7</v>
      </c>
      <c r="E713" s="1">
        <v>2</v>
      </c>
      <c r="F713" s="1">
        <v>0</v>
      </c>
      <c r="G713" s="1">
        <v>8</v>
      </c>
      <c r="H713" s="1">
        <v>0</v>
      </c>
      <c r="I713" s="1">
        <v>1</v>
      </c>
      <c r="J713" s="1">
        <v>0</v>
      </c>
      <c r="K713" s="1">
        <v>0</v>
      </c>
      <c r="L713" s="1">
        <v>0</v>
      </c>
      <c r="M713" s="4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f t="shared" si="22"/>
        <v>28</v>
      </c>
      <c r="T713" s="1">
        <v>54524</v>
      </c>
      <c r="U713" s="5">
        <f t="shared" si="23"/>
        <v>0.000513535323894065</v>
      </c>
    </row>
    <row r="714" spans="1:21">
      <c r="A714" s="1" t="s">
        <v>748</v>
      </c>
      <c r="B714" s="1" t="s">
        <v>758</v>
      </c>
      <c r="C714" s="1" t="s">
        <v>36</v>
      </c>
      <c r="D714" s="1">
        <v>8</v>
      </c>
      <c r="E714" s="1">
        <v>2</v>
      </c>
      <c r="F714" s="1">
        <v>0</v>
      </c>
      <c r="G714" s="1">
        <v>17</v>
      </c>
      <c r="H714" s="1">
        <v>1</v>
      </c>
      <c r="I714" s="1">
        <v>0</v>
      </c>
      <c r="J714" s="1">
        <v>0</v>
      </c>
      <c r="K714" s="1">
        <v>0</v>
      </c>
      <c r="L714" s="1">
        <v>0</v>
      </c>
      <c r="M714" s="4">
        <v>0</v>
      </c>
      <c r="N714" s="1">
        <v>0</v>
      </c>
      <c r="O714" s="1">
        <v>0</v>
      </c>
      <c r="P714" s="1">
        <v>0</v>
      </c>
      <c r="Q714" s="1">
        <v>0</v>
      </c>
      <c r="R714" s="1">
        <v>1</v>
      </c>
      <c r="S714" s="1">
        <f t="shared" si="22"/>
        <v>41</v>
      </c>
      <c r="T714" s="1">
        <v>60221</v>
      </c>
      <c r="U714" s="5">
        <f t="shared" si="23"/>
        <v>0.000680825625612328</v>
      </c>
    </row>
    <row r="715" spans="1:21">
      <c r="A715" s="1" t="s">
        <v>759</v>
      </c>
      <c r="B715" s="1" t="s">
        <v>760</v>
      </c>
      <c r="C715" s="1" t="s">
        <v>27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4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f t="shared" si="22"/>
        <v>0</v>
      </c>
      <c r="T715" s="1">
        <v>2249</v>
      </c>
      <c r="U715" s="5">
        <f t="shared" si="23"/>
        <v>0</v>
      </c>
    </row>
    <row r="716" spans="1:21">
      <c r="A716" s="1" t="s">
        <v>759</v>
      </c>
      <c r="B716" s="1" t="s">
        <v>761</v>
      </c>
      <c r="C716" s="1" t="s">
        <v>41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4">
        <v>0</v>
      </c>
      <c r="N716" s="1">
        <v>0</v>
      </c>
      <c r="O716" s="1">
        <v>0</v>
      </c>
      <c r="P716" s="1">
        <v>0</v>
      </c>
      <c r="Q716" s="1">
        <v>0</v>
      </c>
      <c r="R716" s="1">
        <v>1</v>
      </c>
      <c r="S716" s="1">
        <f t="shared" si="22"/>
        <v>2</v>
      </c>
      <c r="T716" s="1">
        <v>40742</v>
      </c>
      <c r="U716" s="5">
        <f t="shared" si="23"/>
        <v>4.90893917824358e-5</v>
      </c>
    </row>
    <row r="717" spans="1:21">
      <c r="A717" s="1" t="s">
        <v>759</v>
      </c>
      <c r="B717" s="1" t="s">
        <v>762</v>
      </c>
      <c r="C717" s="1" t="s">
        <v>43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4">
        <v>0</v>
      </c>
      <c r="N717" s="1">
        <v>0</v>
      </c>
      <c r="O717" s="1">
        <v>0</v>
      </c>
      <c r="P717" s="1">
        <v>0</v>
      </c>
      <c r="Q717" s="1">
        <v>0</v>
      </c>
      <c r="R717" s="1">
        <v>3</v>
      </c>
      <c r="S717" s="1">
        <f t="shared" si="22"/>
        <v>6</v>
      </c>
      <c r="T717" s="1">
        <v>38368</v>
      </c>
      <c r="U717" s="5">
        <f t="shared" si="23"/>
        <v>0.000156380316930776</v>
      </c>
    </row>
    <row r="718" spans="1:21">
      <c r="A718" s="1" t="s">
        <v>759</v>
      </c>
      <c r="B718" s="1" t="s">
        <v>763</v>
      </c>
      <c r="C718" s="1" t="s">
        <v>45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4">
        <v>0</v>
      </c>
      <c r="N718" s="1">
        <v>0</v>
      </c>
      <c r="O718" s="1">
        <v>0</v>
      </c>
      <c r="P718" s="1">
        <v>0</v>
      </c>
      <c r="Q718" s="1">
        <v>0</v>
      </c>
      <c r="R718" s="1">
        <v>3</v>
      </c>
      <c r="S718" s="1">
        <f t="shared" si="22"/>
        <v>6</v>
      </c>
      <c r="T718" s="1">
        <v>39943</v>
      </c>
      <c r="U718" s="5">
        <f t="shared" si="23"/>
        <v>0.000150214055028415</v>
      </c>
    </row>
    <row r="719" spans="1:21">
      <c r="A719" s="1" t="s">
        <v>759</v>
      </c>
      <c r="B719" s="1" t="s">
        <v>764</v>
      </c>
      <c r="C719" s="1" t="s">
        <v>47</v>
      </c>
      <c r="D719" s="1">
        <v>1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4">
        <v>0</v>
      </c>
      <c r="N719" s="1">
        <v>0</v>
      </c>
      <c r="O719" s="1">
        <v>0</v>
      </c>
      <c r="P719" s="1">
        <v>0</v>
      </c>
      <c r="Q719" s="1">
        <v>0</v>
      </c>
      <c r="R719" s="1">
        <v>4</v>
      </c>
      <c r="S719" s="1">
        <f t="shared" si="22"/>
        <v>10</v>
      </c>
      <c r="T719" s="1">
        <v>41893</v>
      </c>
      <c r="U719" s="5">
        <f t="shared" si="23"/>
        <v>0.000238703363330389</v>
      </c>
    </row>
    <row r="720" spans="1:21">
      <c r="A720" s="1" t="s">
        <v>759</v>
      </c>
      <c r="B720" s="1" t="s">
        <v>765</v>
      </c>
      <c r="C720" s="1" t="s">
        <v>22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1</v>
      </c>
      <c r="L720" s="1">
        <v>0</v>
      </c>
      <c r="M720" s="4">
        <v>0</v>
      </c>
      <c r="N720" s="1">
        <v>0</v>
      </c>
      <c r="O720" s="1">
        <v>0</v>
      </c>
      <c r="P720" s="1">
        <v>0</v>
      </c>
      <c r="Q720" s="1">
        <v>0</v>
      </c>
      <c r="R720" s="1">
        <v>4</v>
      </c>
      <c r="S720" s="1">
        <f t="shared" si="22"/>
        <v>10</v>
      </c>
      <c r="T720" s="1">
        <v>46501</v>
      </c>
      <c r="U720" s="5">
        <f t="shared" si="23"/>
        <v>0.000215049138728199</v>
      </c>
    </row>
    <row r="721" spans="1:21">
      <c r="A721" s="1" t="s">
        <v>759</v>
      </c>
      <c r="B721" s="1" t="s">
        <v>766</v>
      </c>
      <c r="C721" s="1" t="s">
        <v>24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1</v>
      </c>
      <c r="L721" s="1">
        <v>0</v>
      </c>
      <c r="M721" s="4">
        <v>0</v>
      </c>
      <c r="N721" s="1">
        <v>0</v>
      </c>
      <c r="O721" s="1">
        <v>0</v>
      </c>
      <c r="P721" s="1">
        <v>0</v>
      </c>
      <c r="Q721" s="1">
        <v>0</v>
      </c>
      <c r="R721" s="1">
        <v>6</v>
      </c>
      <c r="S721" s="1">
        <f t="shared" si="22"/>
        <v>14</v>
      </c>
      <c r="T721" s="1">
        <v>52520</v>
      </c>
      <c r="U721" s="5">
        <f t="shared" si="23"/>
        <v>0.000266565118050267</v>
      </c>
    </row>
    <row r="722" spans="1:21">
      <c r="A722" s="1" t="s">
        <v>759</v>
      </c>
      <c r="B722" s="1" t="s">
        <v>767</v>
      </c>
      <c r="C722" s="1" t="s">
        <v>27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1</v>
      </c>
      <c r="K722" s="1">
        <v>1</v>
      </c>
      <c r="L722" s="1">
        <v>0</v>
      </c>
      <c r="M722" s="4">
        <v>0</v>
      </c>
      <c r="N722" s="1">
        <v>0</v>
      </c>
      <c r="O722" s="1">
        <v>0</v>
      </c>
      <c r="P722" s="1">
        <v>0</v>
      </c>
      <c r="Q722" s="1">
        <v>0</v>
      </c>
      <c r="R722" s="1">
        <v>6</v>
      </c>
      <c r="S722" s="1">
        <f t="shared" si="22"/>
        <v>16</v>
      </c>
      <c r="T722" s="1">
        <v>58216</v>
      </c>
      <c r="U722" s="5">
        <f t="shared" si="23"/>
        <v>0.000274838532362237</v>
      </c>
    </row>
    <row r="723" spans="1:21">
      <c r="A723" s="1" t="s">
        <v>759</v>
      </c>
      <c r="B723" s="1" t="s">
        <v>768</v>
      </c>
      <c r="C723" s="1" t="s">
        <v>30</v>
      </c>
      <c r="D723" s="1">
        <v>1</v>
      </c>
      <c r="E723" s="1">
        <v>0</v>
      </c>
      <c r="F723" s="1">
        <v>0</v>
      </c>
      <c r="G723" s="1">
        <v>1</v>
      </c>
      <c r="H723" s="1">
        <v>0</v>
      </c>
      <c r="I723" s="1">
        <v>0</v>
      </c>
      <c r="J723" s="1">
        <v>0</v>
      </c>
      <c r="K723" s="1">
        <v>1</v>
      </c>
      <c r="L723" s="1">
        <v>0</v>
      </c>
      <c r="M723" s="4">
        <v>0</v>
      </c>
      <c r="N723" s="1">
        <v>1</v>
      </c>
      <c r="O723" s="1">
        <v>0</v>
      </c>
      <c r="P723" s="1">
        <v>0</v>
      </c>
      <c r="Q723" s="1">
        <v>0</v>
      </c>
      <c r="R723" s="1">
        <v>13</v>
      </c>
      <c r="S723" s="1">
        <f t="shared" si="22"/>
        <v>33</v>
      </c>
      <c r="T723" s="1">
        <v>64763</v>
      </c>
      <c r="U723" s="5">
        <f t="shared" si="23"/>
        <v>0.00050955020613622</v>
      </c>
    </row>
    <row r="724" spans="1:21">
      <c r="A724" s="1" t="s">
        <v>759</v>
      </c>
      <c r="B724" s="1" t="s">
        <v>769</v>
      </c>
      <c r="C724" s="1" t="s">
        <v>33</v>
      </c>
      <c r="D724" s="1">
        <v>0</v>
      </c>
      <c r="E724" s="1">
        <v>0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4">
        <v>0</v>
      </c>
      <c r="N724" s="1">
        <v>1</v>
      </c>
      <c r="O724" s="1">
        <v>0</v>
      </c>
      <c r="P724" s="1">
        <v>0</v>
      </c>
      <c r="Q724" s="1">
        <v>0</v>
      </c>
      <c r="R724" s="1">
        <v>6</v>
      </c>
      <c r="S724" s="1">
        <f t="shared" si="22"/>
        <v>15</v>
      </c>
      <c r="T724" s="1">
        <v>57911</v>
      </c>
      <c r="U724" s="5">
        <f t="shared" si="23"/>
        <v>0.000259018148538274</v>
      </c>
    </row>
    <row r="725" spans="1:21">
      <c r="A725" s="1" t="s">
        <v>759</v>
      </c>
      <c r="B725" s="1" t="s">
        <v>770</v>
      </c>
      <c r="C725" s="1" t="s">
        <v>36</v>
      </c>
      <c r="D725" s="1">
        <v>2</v>
      </c>
      <c r="E725" s="1">
        <v>0</v>
      </c>
      <c r="F725" s="1">
        <v>0</v>
      </c>
      <c r="G725" s="1">
        <v>11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4">
        <v>0</v>
      </c>
      <c r="N725" s="1">
        <v>0</v>
      </c>
      <c r="O725" s="1">
        <v>0</v>
      </c>
      <c r="P725" s="1">
        <v>0</v>
      </c>
      <c r="Q725" s="1">
        <v>0</v>
      </c>
      <c r="R725" s="1">
        <v>6</v>
      </c>
      <c r="S725" s="1">
        <f t="shared" si="22"/>
        <v>27</v>
      </c>
      <c r="T725" s="1">
        <v>61575</v>
      </c>
      <c r="U725" s="5">
        <f t="shared" si="23"/>
        <v>0.000438489646772229</v>
      </c>
    </row>
    <row r="726" spans="1:21">
      <c r="A726" s="1" t="s">
        <v>771</v>
      </c>
      <c r="B726" s="1" t="s">
        <v>772</v>
      </c>
      <c r="C726" s="1" t="s">
        <v>41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4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f t="shared" si="22"/>
        <v>0</v>
      </c>
      <c r="T726" s="1">
        <v>58633</v>
      </c>
      <c r="U726" s="5">
        <f t="shared" si="23"/>
        <v>0</v>
      </c>
    </row>
    <row r="727" spans="1:21">
      <c r="A727" s="1" t="s">
        <v>771</v>
      </c>
      <c r="B727" s="1" t="s">
        <v>773</v>
      </c>
      <c r="C727" s="1" t="s">
        <v>41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4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f t="shared" si="22"/>
        <v>0</v>
      </c>
      <c r="T727" s="1">
        <v>18651</v>
      </c>
      <c r="U727" s="5">
        <f t="shared" si="23"/>
        <v>0</v>
      </c>
    </row>
    <row r="728" spans="1:21">
      <c r="A728" s="1" t="s">
        <v>771</v>
      </c>
      <c r="B728" s="1" t="s">
        <v>774</v>
      </c>
      <c r="C728" s="1" t="s">
        <v>43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4">
        <v>0</v>
      </c>
      <c r="N728" s="1">
        <v>0</v>
      </c>
      <c r="O728" s="1">
        <v>0</v>
      </c>
      <c r="P728" s="1">
        <v>0</v>
      </c>
      <c r="Q728" s="1">
        <v>0</v>
      </c>
      <c r="R728" s="1">
        <v>2</v>
      </c>
      <c r="S728" s="1">
        <f t="shared" si="22"/>
        <v>4</v>
      </c>
      <c r="T728" s="1">
        <v>60344</v>
      </c>
      <c r="U728" s="5">
        <f t="shared" si="23"/>
        <v>6.62866233594061e-5</v>
      </c>
    </row>
    <row r="729" spans="1:21">
      <c r="A729" s="1" t="s">
        <v>771</v>
      </c>
      <c r="B729" s="1" t="s">
        <v>775</v>
      </c>
      <c r="C729" s="1" t="s">
        <v>43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4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f t="shared" si="22"/>
        <v>0</v>
      </c>
      <c r="T729" s="1">
        <v>18662</v>
      </c>
      <c r="U729" s="5">
        <f t="shared" si="23"/>
        <v>0</v>
      </c>
    </row>
    <row r="730" spans="1:21">
      <c r="A730" s="1" t="s">
        <v>771</v>
      </c>
      <c r="B730" s="1" t="s">
        <v>776</v>
      </c>
      <c r="C730" s="1" t="s">
        <v>45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4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f t="shared" si="22"/>
        <v>0</v>
      </c>
      <c r="T730" s="1">
        <v>59564</v>
      </c>
      <c r="U730" s="5">
        <f t="shared" si="23"/>
        <v>0</v>
      </c>
    </row>
    <row r="731" spans="1:21">
      <c r="A731" s="1" t="s">
        <v>771</v>
      </c>
      <c r="B731" s="1" t="s">
        <v>777</v>
      </c>
      <c r="C731" s="1" t="s">
        <v>45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4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f t="shared" si="22"/>
        <v>0</v>
      </c>
      <c r="T731" s="1">
        <v>20558</v>
      </c>
      <c r="U731" s="5">
        <f t="shared" si="23"/>
        <v>0</v>
      </c>
    </row>
    <row r="732" spans="1:21">
      <c r="A732" s="1" t="s">
        <v>771</v>
      </c>
      <c r="B732" s="1" t="s">
        <v>778</v>
      </c>
      <c r="C732" s="1" t="s">
        <v>47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4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f t="shared" si="22"/>
        <v>0</v>
      </c>
      <c r="T732" s="1">
        <v>61750</v>
      </c>
      <c r="U732" s="5">
        <f t="shared" si="23"/>
        <v>0</v>
      </c>
    </row>
    <row r="733" spans="1:21">
      <c r="A733" s="1" t="s">
        <v>771</v>
      </c>
      <c r="B733" s="1" t="s">
        <v>779</v>
      </c>
      <c r="C733" s="1" t="s">
        <v>47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4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f t="shared" si="22"/>
        <v>0</v>
      </c>
      <c r="T733" s="1">
        <v>19980</v>
      </c>
      <c r="U733" s="5">
        <f t="shared" si="23"/>
        <v>0</v>
      </c>
    </row>
    <row r="734" spans="1:21">
      <c r="A734" s="1" t="s">
        <v>771</v>
      </c>
      <c r="B734" s="1" t="s">
        <v>780</v>
      </c>
      <c r="C734" s="1" t="s">
        <v>22</v>
      </c>
      <c r="D734" s="1">
        <v>0</v>
      </c>
      <c r="E734" s="1">
        <v>0</v>
      </c>
      <c r="F734" s="1">
        <v>0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4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f t="shared" si="22"/>
        <v>1</v>
      </c>
      <c r="T734" s="1">
        <v>61297</v>
      </c>
      <c r="U734" s="5">
        <f t="shared" si="23"/>
        <v>1.6314012104997e-5</v>
      </c>
    </row>
    <row r="735" spans="1:21">
      <c r="A735" s="1" t="s">
        <v>771</v>
      </c>
      <c r="B735" s="1" t="s">
        <v>781</v>
      </c>
      <c r="C735" s="1" t="s">
        <v>22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4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f t="shared" si="22"/>
        <v>0</v>
      </c>
      <c r="T735" s="1">
        <v>19764</v>
      </c>
      <c r="U735" s="5">
        <f t="shared" si="23"/>
        <v>0</v>
      </c>
    </row>
    <row r="736" spans="1:21">
      <c r="A736" s="1" t="s">
        <v>771</v>
      </c>
      <c r="B736" s="1" t="s">
        <v>782</v>
      </c>
      <c r="C736" s="1" t="s">
        <v>24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4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f t="shared" si="22"/>
        <v>0</v>
      </c>
      <c r="T736" s="1">
        <v>62395</v>
      </c>
      <c r="U736" s="5">
        <f t="shared" si="23"/>
        <v>0</v>
      </c>
    </row>
    <row r="737" spans="1:21">
      <c r="A737" s="1" t="s">
        <v>771</v>
      </c>
      <c r="B737" s="1" t="s">
        <v>783</v>
      </c>
      <c r="C737" s="1" t="s">
        <v>24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4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f t="shared" si="22"/>
        <v>0</v>
      </c>
      <c r="T737" s="1">
        <v>18699</v>
      </c>
      <c r="U737" s="5">
        <f t="shared" si="23"/>
        <v>0</v>
      </c>
    </row>
    <row r="738" spans="1:21">
      <c r="A738" s="1" t="s">
        <v>771</v>
      </c>
      <c r="B738" s="1" t="s">
        <v>784</v>
      </c>
      <c r="C738" s="1" t="s">
        <v>36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4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f t="shared" si="22"/>
        <v>0</v>
      </c>
      <c r="T738" s="1">
        <v>48288</v>
      </c>
      <c r="U738" s="5">
        <f t="shared" si="23"/>
        <v>0</v>
      </c>
    </row>
    <row r="739" spans="1:21">
      <c r="A739" s="1" t="s">
        <v>771</v>
      </c>
      <c r="B739" s="1" t="s">
        <v>785</v>
      </c>
      <c r="C739" s="1" t="s">
        <v>36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4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f t="shared" si="22"/>
        <v>0</v>
      </c>
      <c r="T739" s="1">
        <v>18250</v>
      </c>
      <c r="U739" s="5">
        <f t="shared" si="23"/>
        <v>0</v>
      </c>
    </row>
    <row r="740" spans="1:21">
      <c r="A740" s="1" t="s">
        <v>771</v>
      </c>
      <c r="B740" s="1" t="s">
        <v>786</v>
      </c>
      <c r="C740" s="1">
        <v>2020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4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f t="shared" si="22"/>
        <v>0</v>
      </c>
      <c r="T740" s="1">
        <v>33844</v>
      </c>
      <c r="U740" s="5">
        <f t="shared" si="23"/>
        <v>0</v>
      </c>
    </row>
    <row r="741" spans="1:21">
      <c r="A741" s="1" t="s">
        <v>771</v>
      </c>
      <c r="B741" s="1" t="s">
        <v>787</v>
      </c>
      <c r="C741" s="1">
        <v>2020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4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f t="shared" si="22"/>
        <v>0</v>
      </c>
      <c r="T741" s="1">
        <v>18589</v>
      </c>
      <c r="U741" s="5">
        <f t="shared" si="23"/>
        <v>0</v>
      </c>
    </row>
    <row r="742" spans="1:21">
      <c r="A742" s="1" t="s">
        <v>771</v>
      </c>
      <c r="B742" s="1" t="s">
        <v>788</v>
      </c>
      <c r="C742" s="1">
        <v>2021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4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f t="shared" si="22"/>
        <v>0</v>
      </c>
      <c r="T742" s="1">
        <v>55859</v>
      </c>
      <c r="U742" s="5">
        <f t="shared" si="23"/>
        <v>0</v>
      </c>
    </row>
    <row r="743" spans="1:21">
      <c r="A743" s="1" t="s">
        <v>771</v>
      </c>
      <c r="B743" s="1" t="s">
        <v>789</v>
      </c>
      <c r="C743" s="1">
        <v>2021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4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f t="shared" si="22"/>
        <v>0</v>
      </c>
      <c r="T743" s="1">
        <v>18307</v>
      </c>
      <c r="U743" s="5">
        <f t="shared" si="23"/>
        <v>0</v>
      </c>
    </row>
    <row r="744" spans="1:21">
      <c r="A744" s="1" t="s">
        <v>771</v>
      </c>
      <c r="B744" s="1" t="s">
        <v>790</v>
      </c>
      <c r="C744" s="1">
        <v>2022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4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f t="shared" si="22"/>
        <v>0</v>
      </c>
      <c r="T744" s="1">
        <v>18725</v>
      </c>
      <c r="U744" s="5">
        <f t="shared" si="23"/>
        <v>0</v>
      </c>
    </row>
    <row r="745" spans="1:21">
      <c r="A745" s="1" t="s">
        <v>771</v>
      </c>
      <c r="B745" s="1" t="s">
        <v>791</v>
      </c>
      <c r="C745" s="1">
        <v>2022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4">
        <v>0</v>
      </c>
      <c r="N745" s="1">
        <v>0</v>
      </c>
      <c r="O745" s="1">
        <v>1</v>
      </c>
      <c r="P745" s="1">
        <v>0</v>
      </c>
      <c r="Q745" s="1">
        <v>0</v>
      </c>
      <c r="R745" s="1">
        <v>0</v>
      </c>
      <c r="S745" s="1">
        <f t="shared" si="22"/>
        <v>2</v>
      </c>
      <c r="T745" s="1">
        <v>56060</v>
      </c>
      <c r="U745" s="5">
        <f t="shared" si="23"/>
        <v>3.56760613628255e-5</v>
      </c>
    </row>
    <row r="746" spans="1:21">
      <c r="A746" s="1" t="s">
        <v>792</v>
      </c>
      <c r="B746" s="1" t="s">
        <v>97</v>
      </c>
      <c r="C746" s="1" t="s">
        <v>45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1</v>
      </c>
      <c r="K746" s="1">
        <v>0</v>
      </c>
      <c r="L746" s="1">
        <v>0</v>
      </c>
      <c r="M746" s="4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f t="shared" si="22"/>
        <v>2</v>
      </c>
      <c r="T746" s="1">
        <v>11432</v>
      </c>
      <c r="U746" s="5">
        <f t="shared" si="23"/>
        <v>0.000174947515745276</v>
      </c>
    </row>
    <row r="747" spans="1:21">
      <c r="A747" s="1" t="s">
        <v>792</v>
      </c>
      <c r="B747" s="1" t="s">
        <v>793</v>
      </c>
      <c r="C747" s="1" t="s">
        <v>30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4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f t="shared" si="22"/>
        <v>0</v>
      </c>
      <c r="T747" s="1">
        <v>35849</v>
      </c>
      <c r="U747" s="5">
        <f t="shared" si="23"/>
        <v>0</v>
      </c>
    </row>
    <row r="748" spans="1:21">
      <c r="A748" s="1" t="s">
        <v>792</v>
      </c>
      <c r="B748" s="1" t="s">
        <v>794</v>
      </c>
      <c r="C748" s="1" t="s">
        <v>33</v>
      </c>
      <c r="D748" s="1">
        <v>2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4">
        <v>0</v>
      </c>
      <c r="N748" s="1">
        <v>0</v>
      </c>
      <c r="O748" s="1">
        <v>0</v>
      </c>
      <c r="P748" s="1">
        <v>0</v>
      </c>
      <c r="Q748" s="1">
        <v>0</v>
      </c>
      <c r="R748" s="1">
        <v>1</v>
      </c>
      <c r="S748" s="1">
        <f t="shared" si="22"/>
        <v>6</v>
      </c>
      <c r="T748" s="1">
        <v>35452</v>
      </c>
      <c r="U748" s="5">
        <f t="shared" si="23"/>
        <v>0.000169242920004513</v>
      </c>
    </row>
    <row r="749" spans="1:21">
      <c r="A749" s="1" t="s">
        <v>792</v>
      </c>
      <c r="B749" s="1" t="s">
        <v>181</v>
      </c>
      <c r="C749" s="1" t="s">
        <v>36</v>
      </c>
      <c r="D749" s="1">
        <v>0</v>
      </c>
      <c r="E749" s="1">
        <v>1</v>
      </c>
      <c r="F749" s="1">
        <v>0</v>
      </c>
      <c r="G749" s="1">
        <v>1</v>
      </c>
      <c r="H749" s="1">
        <v>1</v>
      </c>
      <c r="I749" s="1">
        <v>0</v>
      </c>
      <c r="J749" s="1">
        <v>1</v>
      </c>
      <c r="K749" s="1">
        <v>0</v>
      </c>
      <c r="L749" s="1">
        <v>0</v>
      </c>
      <c r="M749" s="4">
        <v>0</v>
      </c>
      <c r="N749" s="1">
        <v>0</v>
      </c>
      <c r="O749" s="1">
        <v>0</v>
      </c>
      <c r="P749" s="1">
        <v>0</v>
      </c>
      <c r="Q749" s="1">
        <v>0</v>
      </c>
      <c r="R749" s="1">
        <v>1</v>
      </c>
      <c r="S749" s="1">
        <f t="shared" si="22"/>
        <v>9</v>
      </c>
      <c r="T749" s="1">
        <v>35641</v>
      </c>
      <c r="U749" s="5">
        <f t="shared" si="23"/>
        <v>0.000252518167279257</v>
      </c>
    </row>
    <row r="750" spans="1:21">
      <c r="A750" s="1" t="s">
        <v>792</v>
      </c>
      <c r="B750" s="1" t="s">
        <v>185</v>
      </c>
      <c r="C750" s="1" t="s">
        <v>27</v>
      </c>
      <c r="D750" s="1">
        <v>0</v>
      </c>
      <c r="E750" s="1">
        <v>0</v>
      </c>
      <c r="F750" s="1">
        <v>0</v>
      </c>
      <c r="G750" s="1">
        <v>1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4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f t="shared" si="22"/>
        <v>1</v>
      </c>
      <c r="T750" s="1">
        <v>38983</v>
      </c>
      <c r="U750" s="5">
        <f t="shared" si="23"/>
        <v>2.56522073724444e-5</v>
      </c>
    </row>
    <row r="751" spans="1:21">
      <c r="A751" s="1" t="s">
        <v>792</v>
      </c>
      <c r="B751" s="1" t="s">
        <v>795</v>
      </c>
      <c r="C751" s="1" t="s">
        <v>43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4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f t="shared" si="22"/>
        <v>0</v>
      </c>
      <c r="T751" s="1">
        <v>10178</v>
      </c>
      <c r="U751" s="5">
        <f t="shared" si="23"/>
        <v>0</v>
      </c>
    </row>
    <row r="752" spans="1:21">
      <c r="A752" s="1" t="s">
        <v>792</v>
      </c>
      <c r="B752" s="1" t="s">
        <v>796</v>
      </c>
      <c r="C752" s="1" t="s">
        <v>41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4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f t="shared" si="22"/>
        <v>0</v>
      </c>
      <c r="T752" s="1">
        <v>21538</v>
      </c>
      <c r="U752" s="5">
        <f t="shared" si="23"/>
        <v>0</v>
      </c>
    </row>
    <row r="753" spans="1:21">
      <c r="A753" s="1" t="s">
        <v>792</v>
      </c>
      <c r="B753" s="1" t="s">
        <v>797</v>
      </c>
      <c r="C753" s="1">
        <v>2016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4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f t="shared" si="22"/>
        <v>0</v>
      </c>
      <c r="T753" s="1">
        <v>21299</v>
      </c>
      <c r="U753" s="5">
        <f t="shared" si="23"/>
        <v>0</v>
      </c>
    </row>
    <row r="754" spans="1:21">
      <c r="A754" s="1" t="s">
        <v>792</v>
      </c>
      <c r="B754" s="1" t="s">
        <v>798</v>
      </c>
      <c r="C754" s="1" t="s">
        <v>24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4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f t="shared" si="22"/>
        <v>0</v>
      </c>
      <c r="T754" s="1">
        <v>35578</v>
      </c>
      <c r="U754" s="5">
        <f t="shared" si="23"/>
        <v>0</v>
      </c>
    </row>
    <row r="755" spans="1:21">
      <c r="A755" s="1" t="s">
        <v>792</v>
      </c>
      <c r="B755" s="1" t="s">
        <v>799</v>
      </c>
      <c r="C755" s="1" t="s">
        <v>47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4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f t="shared" si="22"/>
        <v>0</v>
      </c>
      <c r="T755" s="1">
        <v>2832</v>
      </c>
      <c r="U755" s="5">
        <f t="shared" si="23"/>
        <v>0</v>
      </c>
    </row>
    <row r="756" spans="1:21">
      <c r="A756" s="1" t="s">
        <v>792</v>
      </c>
      <c r="B756" s="1" t="s">
        <v>800</v>
      </c>
      <c r="C756" s="1" t="s">
        <v>41</v>
      </c>
      <c r="D756" s="1">
        <v>0</v>
      </c>
      <c r="E756" s="1">
        <v>0</v>
      </c>
      <c r="F756" s="1">
        <v>0</v>
      </c>
      <c r="G756" s="1">
        <v>0</v>
      </c>
      <c r="H756" s="1">
        <v>1</v>
      </c>
      <c r="I756" s="1">
        <v>0</v>
      </c>
      <c r="J756" s="1">
        <v>1</v>
      </c>
      <c r="K756" s="1">
        <v>0</v>
      </c>
      <c r="L756" s="1">
        <v>0</v>
      </c>
      <c r="M756" s="4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f t="shared" si="22"/>
        <v>4</v>
      </c>
      <c r="T756" s="1">
        <v>10859</v>
      </c>
      <c r="U756" s="5">
        <f t="shared" si="23"/>
        <v>0.000368358044018786</v>
      </c>
    </row>
    <row r="757" spans="1:21">
      <c r="A757" s="1" t="s">
        <v>792</v>
      </c>
      <c r="B757" s="1" t="s">
        <v>801</v>
      </c>
      <c r="C757" s="1" t="s">
        <v>22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4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f t="shared" si="22"/>
        <v>0</v>
      </c>
      <c r="T757" s="1">
        <v>33695</v>
      </c>
      <c r="U757" s="5">
        <f t="shared" si="23"/>
        <v>0</v>
      </c>
    </row>
    <row r="758" spans="1:21">
      <c r="A758" s="1" t="s">
        <v>802</v>
      </c>
      <c r="B758" s="1" t="s">
        <v>803</v>
      </c>
      <c r="C758" s="1" t="s">
        <v>27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1</v>
      </c>
      <c r="K758" s="1">
        <v>0</v>
      </c>
      <c r="L758" s="1">
        <v>0</v>
      </c>
      <c r="M758" s="4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f t="shared" si="22"/>
        <v>2</v>
      </c>
      <c r="T758" s="1">
        <v>27120</v>
      </c>
      <c r="U758" s="5">
        <f t="shared" si="23"/>
        <v>7.37463126843658e-5</v>
      </c>
    </row>
    <row r="759" spans="1:21">
      <c r="A759" s="1" t="s">
        <v>802</v>
      </c>
      <c r="B759" s="1" t="s">
        <v>804</v>
      </c>
      <c r="C759" s="1" t="s">
        <v>30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4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f t="shared" si="22"/>
        <v>0</v>
      </c>
      <c r="T759" s="1">
        <v>27948</v>
      </c>
      <c r="U759" s="5">
        <f t="shared" si="23"/>
        <v>0</v>
      </c>
    </row>
    <row r="760" spans="1:21">
      <c r="A760" s="1" t="s">
        <v>802</v>
      </c>
      <c r="B760" s="1" t="s">
        <v>805</v>
      </c>
      <c r="C760" s="1" t="s">
        <v>33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4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f t="shared" si="22"/>
        <v>0</v>
      </c>
      <c r="T760" s="1">
        <v>27703</v>
      </c>
      <c r="U760" s="5">
        <f t="shared" si="23"/>
        <v>0</v>
      </c>
    </row>
    <row r="761" spans="1:21">
      <c r="A761" s="1" t="s">
        <v>802</v>
      </c>
      <c r="B761" s="1" t="s">
        <v>806</v>
      </c>
      <c r="C761" s="1" t="s">
        <v>36</v>
      </c>
      <c r="D761" s="1">
        <v>0</v>
      </c>
      <c r="E761" s="1">
        <v>0</v>
      </c>
      <c r="F761" s="1">
        <v>0</v>
      </c>
      <c r="G761" s="1">
        <v>1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4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f t="shared" si="22"/>
        <v>1</v>
      </c>
      <c r="T761" s="1">
        <v>47332</v>
      </c>
      <c r="U761" s="5">
        <f t="shared" si="23"/>
        <v>2.11273557001606e-5</v>
      </c>
    </row>
    <row r="762" spans="1:21">
      <c r="A762" s="1" t="s">
        <v>807</v>
      </c>
      <c r="B762" s="1" t="s">
        <v>33</v>
      </c>
      <c r="C762" s="1" t="s">
        <v>33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4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f t="shared" si="22"/>
        <v>0</v>
      </c>
      <c r="T762" s="1">
        <v>44823</v>
      </c>
      <c r="U762" s="5">
        <f t="shared" si="23"/>
        <v>0</v>
      </c>
    </row>
    <row r="763" spans="1:21">
      <c r="A763" s="1" t="s">
        <v>807</v>
      </c>
      <c r="B763" s="1" t="s">
        <v>36</v>
      </c>
      <c r="C763" s="1" t="s">
        <v>36</v>
      </c>
      <c r="D763" s="1">
        <v>0</v>
      </c>
      <c r="E763" s="1">
        <v>0</v>
      </c>
      <c r="F763" s="1">
        <v>0</v>
      </c>
      <c r="G763" s="1">
        <v>3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4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f t="shared" si="22"/>
        <v>3</v>
      </c>
      <c r="T763" s="1">
        <v>44204</v>
      </c>
      <c r="U763" s="5">
        <f t="shared" si="23"/>
        <v>6.78671613428649e-5</v>
      </c>
    </row>
    <row r="764" spans="1:21">
      <c r="A764" s="1" t="s">
        <v>808</v>
      </c>
      <c r="B764" s="1" t="s">
        <v>809</v>
      </c>
      <c r="C764" s="1" t="s">
        <v>43</v>
      </c>
      <c r="D764" s="1">
        <v>0</v>
      </c>
      <c r="E764" s="1">
        <v>0</v>
      </c>
      <c r="F764" s="1">
        <v>0</v>
      </c>
      <c r="G764" s="1">
        <v>0</v>
      </c>
      <c r="H764" s="1">
        <v>2</v>
      </c>
      <c r="I764" s="1">
        <v>0</v>
      </c>
      <c r="J764" s="1">
        <v>2</v>
      </c>
      <c r="K764" s="1">
        <v>1</v>
      </c>
      <c r="L764" s="1">
        <v>0</v>
      </c>
      <c r="M764" s="4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f t="shared" si="22"/>
        <v>10</v>
      </c>
      <c r="T764" s="1">
        <v>22577</v>
      </c>
      <c r="U764" s="5">
        <f t="shared" si="23"/>
        <v>0.00044292864419542</v>
      </c>
    </row>
    <row r="765" spans="1:21">
      <c r="A765" s="1" t="s">
        <v>808</v>
      </c>
      <c r="B765" s="1" t="s">
        <v>810</v>
      </c>
      <c r="C765" s="1" t="s">
        <v>45</v>
      </c>
      <c r="D765" s="1">
        <v>1</v>
      </c>
      <c r="E765" s="1">
        <v>0</v>
      </c>
      <c r="F765" s="1">
        <v>0</v>
      </c>
      <c r="G765" s="1">
        <v>1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4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f t="shared" si="22"/>
        <v>3</v>
      </c>
      <c r="T765" s="1">
        <v>33411</v>
      </c>
      <c r="U765" s="5">
        <f t="shared" si="23"/>
        <v>8.97907874652061e-5</v>
      </c>
    </row>
    <row r="766" spans="1:21">
      <c r="A766" s="1" t="s">
        <v>808</v>
      </c>
      <c r="B766" s="1" t="s">
        <v>811</v>
      </c>
      <c r="C766" s="1" t="s">
        <v>47</v>
      </c>
      <c r="D766" s="1">
        <v>4</v>
      </c>
      <c r="E766" s="1">
        <v>0</v>
      </c>
      <c r="F766" s="1">
        <v>0</v>
      </c>
      <c r="G766" s="1">
        <v>4</v>
      </c>
      <c r="H766" s="1">
        <v>1</v>
      </c>
      <c r="I766" s="1">
        <v>0</v>
      </c>
      <c r="J766" s="1">
        <v>1</v>
      </c>
      <c r="K766" s="1">
        <v>0</v>
      </c>
      <c r="L766" s="1">
        <v>0</v>
      </c>
      <c r="M766" s="4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f t="shared" si="22"/>
        <v>16</v>
      </c>
      <c r="T766" s="1">
        <v>41306</v>
      </c>
      <c r="U766" s="5">
        <f t="shared" si="23"/>
        <v>0.000387352926935554</v>
      </c>
    </row>
    <row r="767" spans="1:21">
      <c r="A767" s="1" t="s">
        <v>808</v>
      </c>
      <c r="B767" s="1" t="s">
        <v>812</v>
      </c>
      <c r="C767" s="1" t="s">
        <v>22</v>
      </c>
      <c r="D767" s="1">
        <v>3</v>
      </c>
      <c r="E767" s="1">
        <v>0</v>
      </c>
      <c r="F767" s="1">
        <v>0</v>
      </c>
      <c r="G767" s="1">
        <v>13</v>
      </c>
      <c r="H767" s="1">
        <v>4</v>
      </c>
      <c r="I767" s="1">
        <v>0</v>
      </c>
      <c r="J767" s="1">
        <v>0</v>
      </c>
      <c r="K767" s="1">
        <v>0</v>
      </c>
      <c r="L767" s="1">
        <v>0</v>
      </c>
      <c r="M767" s="4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f t="shared" si="22"/>
        <v>27</v>
      </c>
      <c r="T767" s="1">
        <v>44833</v>
      </c>
      <c r="U767" s="5">
        <f t="shared" si="23"/>
        <v>0.000602234960854728</v>
      </c>
    </row>
    <row r="768" spans="1:21">
      <c r="A768" s="1" t="s">
        <v>808</v>
      </c>
      <c r="B768" s="1" t="s">
        <v>813</v>
      </c>
      <c r="C768" s="1" t="s">
        <v>24</v>
      </c>
      <c r="D768" s="1">
        <v>0</v>
      </c>
      <c r="E768" s="1">
        <v>0</v>
      </c>
      <c r="F768" s="1">
        <v>0</v>
      </c>
      <c r="G768" s="1">
        <v>2</v>
      </c>
      <c r="H768" s="1">
        <v>1</v>
      </c>
      <c r="I768" s="1">
        <v>0</v>
      </c>
      <c r="J768" s="1">
        <v>0</v>
      </c>
      <c r="K768" s="1">
        <v>0</v>
      </c>
      <c r="L768" s="1">
        <v>0</v>
      </c>
      <c r="M768" s="4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f t="shared" si="22"/>
        <v>4</v>
      </c>
      <c r="T768" s="1">
        <v>44665</v>
      </c>
      <c r="U768" s="5">
        <f t="shared" si="23"/>
        <v>8.95555804321057e-5</v>
      </c>
    </row>
    <row r="769" spans="1:21">
      <c r="A769" s="1" t="s">
        <v>808</v>
      </c>
      <c r="B769" s="1" t="s">
        <v>814</v>
      </c>
      <c r="C769" s="1" t="s">
        <v>27</v>
      </c>
      <c r="D769" s="1">
        <v>5</v>
      </c>
      <c r="E769" s="1">
        <v>0</v>
      </c>
      <c r="F769" s="1">
        <v>0</v>
      </c>
      <c r="G769" s="1">
        <v>16</v>
      </c>
      <c r="H769" s="1">
        <v>2</v>
      </c>
      <c r="I769" s="1">
        <v>0</v>
      </c>
      <c r="J769" s="1">
        <v>0</v>
      </c>
      <c r="K769" s="1">
        <v>1</v>
      </c>
      <c r="L769" s="1">
        <v>0</v>
      </c>
      <c r="M769" s="4">
        <v>0</v>
      </c>
      <c r="N769" s="1">
        <v>0</v>
      </c>
      <c r="O769" s="1">
        <v>0</v>
      </c>
      <c r="P769" s="1">
        <v>0</v>
      </c>
      <c r="Q769" s="1">
        <v>0</v>
      </c>
      <c r="R769" s="1">
        <v>1</v>
      </c>
      <c r="S769" s="1">
        <f t="shared" si="22"/>
        <v>34</v>
      </c>
      <c r="T769" s="1">
        <v>51096</v>
      </c>
      <c r="U769" s="5">
        <f t="shared" si="23"/>
        <v>0.000665414122436199</v>
      </c>
    </row>
    <row r="770" spans="1:21">
      <c r="A770" s="1" t="s">
        <v>808</v>
      </c>
      <c r="B770" s="1" t="s">
        <v>815</v>
      </c>
      <c r="C770" s="1" t="s">
        <v>30</v>
      </c>
      <c r="D770" s="1">
        <v>16</v>
      </c>
      <c r="E770" s="1">
        <v>4</v>
      </c>
      <c r="F770" s="1">
        <v>1</v>
      </c>
      <c r="G770" s="1">
        <v>37</v>
      </c>
      <c r="H770" s="1">
        <v>1</v>
      </c>
      <c r="I770" s="1">
        <v>0</v>
      </c>
      <c r="J770" s="1">
        <v>1</v>
      </c>
      <c r="K770" s="1">
        <v>0</v>
      </c>
      <c r="L770" s="1">
        <v>0</v>
      </c>
      <c r="M770" s="4">
        <v>0</v>
      </c>
      <c r="N770" s="1">
        <v>1</v>
      </c>
      <c r="O770" s="1">
        <v>0</v>
      </c>
      <c r="P770" s="1">
        <v>0</v>
      </c>
      <c r="Q770" s="1">
        <v>0</v>
      </c>
      <c r="R770" s="1">
        <v>1</v>
      </c>
      <c r="S770" s="1">
        <f t="shared" ref="S770:S833" si="24">D770*2+E770*2+F770*2+G770*1+H770*2+I770*2+J770*2+K770*2+L770*2+M770*2+N770*2+O770*2+P770*2+Q770*2+R770*2</f>
        <v>87</v>
      </c>
      <c r="T770" s="1">
        <v>56735</v>
      </c>
      <c r="U770" s="5">
        <f t="shared" ref="U770:U833" si="25">S770/T770</f>
        <v>0.00153344496342646</v>
      </c>
    </row>
    <row r="771" spans="1:21">
      <c r="A771" s="1" t="s">
        <v>808</v>
      </c>
      <c r="B771" s="1" t="s">
        <v>816</v>
      </c>
      <c r="C771" s="1" t="s">
        <v>33</v>
      </c>
      <c r="D771" s="1">
        <v>2</v>
      </c>
      <c r="E771" s="1">
        <v>1</v>
      </c>
      <c r="F771" s="1">
        <v>0</v>
      </c>
      <c r="G771" s="1">
        <v>13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4">
        <v>0</v>
      </c>
      <c r="N771" s="1">
        <v>0</v>
      </c>
      <c r="O771" s="1">
        <v>0</v>
      </c>
      <c r="P771" s="1">
        <v>0</v>
      </c>
      <c r="Q771" s="1">
        <v>0</v>
      </c>
      <c r="R771" s="1">
        <v>2</v>
      </c>
      <c r="S771" s="1">
        <f t="shared" si="24"/>
        <v>23</v>
      </c>
      <c r="T771" s="1">
        <v>52208</v>
      </c>
      <c r="U771" s="5">
        <f t="shared" si="25"/>
        <v>0.000440545510266626</v>
      </c>
    </row>
    <row r="772" spans="1:21">
      <c r="A772" s="1" t="s">
        <v>808</v>
      </c>
      <c r="B772" s="1" t="s">
        <v>817</v>
      </c>
      <c r="C772" s="1" t="s">
        <v>36</v>
      </c>
      <c r="D772" s="1">
        <v>5</v>
      </c>
      <c r="E772" s="1">
        <v>1</v>
      </c>
      <c r="F772" s="1">
        <v>0</v>
      </c>
      <c r="G772" s="1">
        <v>13</v>
      </c>
      <c r="H772" s="1">
        <v>0</v>
      </c>
      <c r="I772" s="1">
        <v>0</v>
      </c>
      <c r="J772" s="1">
        <v>2</v>
      </c>
      <c r="K772" s="1">
        <v>0</v>
      </c>
      <c r="L772" s="1">
        <v>0</v>
      </c>
      <c r="M772" s="4">
        <v>0</v>
      </c>
      <c r="N772" s="1">
        <v>0</v>
      </c>
      <c r="O772" s="1">
        <v>0</v>
      </c>
      <c r="P772" s="1">
        <v>1</v>
      </c>
      <c r="Q772" s="1">
        <v>0</v>
      </c>
      <c r="R772" s="1">
        <v>1</v>
      </c>
      <c r="S772" s="1">
        <f t="shared" si="24"/>
        <v>33</v>
      </c>
      <c r="T772" s="1">
        <v>58342</v>
      </c>
      <c r="U772" s="5">
        <f t="shared" si="25"/>
        <v>0.000565630249220116</v>
      </c>
    </row>
    <row r="773" spans="1:21">
      <c r="A773" s="1" t="s">
        <v>818</v>
      </c>
      <c r="B773" s="1" t="s">
        <v>43</v>
      </c>
      <c r="C773" s="1" t="s">
        <v>43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4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f t="shared" si="24"/>
        <v>0</v>
      </c>
      <c r="T773" s="1">
        <v>26959</v>
      </c>
      <c r="U773" s="5">
        <f t="shared" si="25"/>
        <v>0</v>
      </c>
    </row>
    <row r="774" spans="1:21">
      <c r="A774" s="1" t="s">
        <v>818</v>
      </c>
      <c r="B774" s="1" t="s">
        <v>45</v>
      </c>
      <c r="C774" s="1" t="s">
        <v>45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4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f t="shared" si="24"/>
        <v>0</v>
      </c>
      <c r="T774" s="1">
        <v>28893</v>
      </c>
      <c r="U774" s="5">
        <f t="shared" si="25"/>
        <v>0</v>
      </c>
    </row>
    <row r="775" spans="1:21">
      <c r="A775" s="1" t="s">
        <v>818</v>
      </c>
      <c r="B775" s="1" t="s">
        <v>47</v>
      </c>
      <c r="C775" s="1" t="s">
        <v>47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4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f t="shared" si="24"/>
        <v>0</v>
      </c>
      <c r="T775" s="1">
        <v>27206</v>
      </c>
      <c r="U775" s="5">
        <f t="shared" si="25"/>
        <v>0</v>
      </c>
    </row>
    <row r="776" spans="1:21">
      <c r="A776" s="1" t="s">
        <v>818</v>
      </c>
      <c r="B776" s="1" t="s">
        <v>22</v>
      </c>
      <c r="C776" s="1" t="s">
        <v>22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1</v>
      </c>
      <c r="L776" s="1">
        <v>0</v>
      </c>
      <c r="M776" s="4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f t="shared" si="24"/>
        <v>2</v>
      </c>
      <c r="T776" s="1">
        <v>25049</v>
      </c>
      <c r="U776" s="5">
        <f t="shared" si="25"/>
        <v>7.98435067268154e-5</v>
      </c>
    </row>
    <row r="777" spans="1:21">
      <c r="A777" s="1" t="s">
        <v>818</v>
      </c>
      <c r="B777" s="1" t="s">
        <v>24</v>
      </c>
      <c r="C777" s="1" t="s">
        <v>24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4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f t="shared" si="24"/>
        <v>0</v>
      </c>
      <c r="T777" s="1">
        <v>25212</v>
      </c>
      <c r="U777" s="5">
        <f t="shared" si="25"/>
        <v>0</v>
      </c>
    </row>
    <row r="778" spans="1:21">
      <c r="A778" s="1" t="s">
        <v>818</v>
      </c>
      <c r="B778" s="1" t="s">
        <v>27</v>
      </c>
      <c r="C778" s="1" t="s">
        <v>27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4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f t="shared" si="24"/>
        <v>0</v>
      </c>
      <c r="T778" s="1">
        <v>30215</v>
      </c>
      <c r="U778" s="5">
        <f t="shared" si="25"/>
        <v>0</v>
      </c>
    </row>
    <row r="779" spans="1:21">
      <c r="A779" s="1" t="s">
        <v>818</v>
      </c>
      <c r="B779" s="1" t="s">
        <v>30</v>
      </c>
      <c r="C779" s="1" t="s">
        <v>30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4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f t="shared" si="24"/>
        <v>0</v>
      </c>
      <c r="T779" s="1">
        <v>33875</v>
      </c>
      <c r="U779" s="5">
        <f t="shared" si="25"/>
        <v>0</v>
      </c>
    </row>
    <row r="780" spans="1:21">
      <c r="A780" s="1" t="s">
        <v>818</v>
      </c>
      <c r="B780" s="1" t="s">
        <v>33</v>
      </c>
      <c r="C780" s="1" t="s">
        <v>33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1</v>
      </c>
      <c r="K780" s="1">
        <v>0</v>
      </c>
      <c r="L780" s="1">
        <v>0</v>
      </c>
      <c r="M780" s="4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f t="shared" si="24"/>
        <v>2</v>
      </c>
      <c r="T780" s="1">
        <v>34277</v>
      </c>
      <c r="U780" s="5">
        <f t="shared" si="25"/>
        <v>5.83481634915541e-5</v>
      </c>
    </row>
    <row r="781" spans="1:21">
      <c r="A781" s="1" t="s">
        <v>818</v>
      </c>
      <c r="B781" s="1" t="s">
        <v>36</v>
      </c>
      <c r="C781" s="1" t="s">
        <v>36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2</v>
      </c>
      <c r="J781" s="1">
        <v>1</v>
      </c>
      <c r="K781" s="1">
        <v>0</v>
      </c>
      <c r="L781" s="1">
        <v>0</v>
      </c>
      <c r="M781" s="4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f t="shared" si="24"/>
        <v>6</v>
      </c>
      <c r="T781" s="1">
        <v>32341</v>
      </c>
      <c r="U781" s="5">
        <f t="shared" si="25"/>
        <v>0.000185523020314771</v>
      </c>
    </row>
    <row r="782" spans="1:21">
      <c r="A782" s="1" t="s">
        <v>819</v>
      </c>
      <c r="B782" s="1" t="s">
        <v>820</v>
      </c>
      <c r="C782" s="1" t="s">
        <v>45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4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f t="shared" si="24"/>
        <v>0</v>
      </c>
      <c r="T782" s="1">
        <v>22199</v>
      </c>
      <c r="U782" s="5">
        <f t="shared" si="25"/>
        <v>0</v>
      </c>
    </row>
    <row r="783" spans="1:21">
      <c r="A783" s="1" t="s">
        <v>819</v>
      </c>
      <c r="B783" s="1" t="s">
        <v>821</v>
      </c>
      <c r="C783" s="1" t="s">
        <v>24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4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f t="shared" si="24"/>
        <v>0</v>
      </c>
      <c r="T783" s="1">
        <v>23229</v>
      </c>
      <c r="U783" s="5">
        <f t="shared" si="25"/>
        <v>0</v>
      </c>
    </row>
    <row r="784" spans="1:21">
      <c r="A784" s="1" t="s">
        <v>819</v>
      </c>
      <c r="B784" s="1" t="s">
        <v>822</v>
      </c>
      <c r="C784" s="1" t="s">
        <v>27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4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f t="shared" si="24"/>
        <v>0</v>
      </c>
      <c r="T784" s="1">
        <v>21853</v>
      </c>
      <c r="U784" s="5">
        <f t="shared" si="25"/>
        <v>0</v>
      </c>
    </row>
    <row r="785" spans="1:21">
      <c r="A785" s="1" t="s">
        <v>819</v>
      </c>
      <c r="B785" s="1" t="s">
        <v>823</v>
      </c>
      <c r="C785" s="1" t="s">
        <v>30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4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f t="shared" si="24"/>
        <v>0</v>
      </c>
      <c r="T785" s="1">
        <v>23609</v>
      </c>
      <c r="U785" s="5">
        <f t="shared" si="25"/>
        <v>0</v>
      </c>
    </row>
    <row r="786" spans="1:21">
      <c r="A786" s="1" t="s">
        <v>819</v>
      </c>
      <c r="B786" s="1" t="s">
        <v>824</v>
      </c>
      <c r="C786" s="1" t="s">
        <v>33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4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f t="shared" si="24"/>
        <v>0</v>
      </c>
      <c r="T786" s="1">
        <v>24337</v>
      </c>
      <c r="U786" s="5">
        <f t="shared" si="25"/>
        <v>0</v>
      </c>
    </row>
    <row r="787" spans="1:21">
      <c r="A787" s="1" t="s">
        <v>819</v>
      </c>
      <c r="B787" s="1" t="s">
        <v>825</v>
      </c>
      <c r="C787" s="1" t="s">
        <v>36</v>
      </c>
      <c r="D787" s="1">
        <v>1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4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f t="shared" si="24"/>
        <v>2</v>
      </c>
      <c r="T787" s="1">
        <v>24842</v>
      </c>
      <c r="U787" s="5">
        <f t="shared" si="25"/>
        <v>8.05088157153208e-5</v>
      </c>
    </row>
    <row r="788" spans="1:21">
      <c r="A788" s="1" t="s">
        <v>819</v>
      </c>
      <c r="B788" s="1" t="s">
        <v>826</v>
      </c>
      <c r="C788" s="1" t="s">
        <v>41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4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f t="shared" si="24"/>
        <v>0</v>
      </c>
      <c r="T788" s="1">
        <v>24912</v>
      </c>
      <c r="U788" s="5">
        <f t="shared" si="25"/>
        <v>0</v>
      </c>
    </row>
    <row r="789" spans="1:21">
      <c r="A789" s="1" t="s">
        <v>819</v>
      </c>
      <c r="B789" s="1" t="s">
        <v>827</v>
      </c>
      <c r="C789" s="1" t="s">
        <v>43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4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f t="shared" si="24"/>
        <v>0</v>
      </c>
      <c r="T789" s="1">
        <v>20185</v>
      </c>
      <c r="U789" s="5">
        <f t="shared" si="25"/>
        <v>0</v>
      </c>
    </row>
    <row r="790" spans="1:21">
      <c r="A790" s="1" t="s">
        <v>819</v>
      </c>
      <c r="B790" s="1" t="s">
        <v>828</v>
      </c>
      <c r="C790" s="1" t="s">
        <v>47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4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f t="shared" si="24"/>
        <v>0</v>
      </c>
      <c r="T790" s="1">
        <v>23172</v>
      </c>
      <c r="U790" s="5">
        <f t="shared" si="25"/>
        <v>0</v>
      </c>
    </row>
    <row r="791" spans="1:21">
      <c r="A791" s="1" t="s">
        <v>819</v>
      </c>
      <c r="B791" s="1" t="s">
        <v>829</v>
      </c>
      <c r="C791" s="1" t="s">
        <v>22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4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f t="shared" si="24"/>
        <v>0</v>
      </c>
      <c r="T791" s="1">
        <v>22673</v>
      </c>
      <c r="U791" s="5">
        <f t="shared" si="25"/>
        <v>0</v>
      </c>
    </row>
    <row r="792" spans="1:21">
      <c r="A792" s="1" t="s">
        <v>830</v>
      </c>
      <c r="B792" s="1" t="s">
        <v>831</v>
      </c>
      <c r="C792" s="1" t="s">
        <v>41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4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f t="shared" si="24"/>
        <v>0</v>
      </c>
      <c r="T792" s="1">
        <v>36680</v>
      </c>
      <c r="U792" s="5">
        <f t="shared" si="25"/>
        <v>0</v>
      </c>
    </row>
    <row r="793" spans="1:21">
      <c r="A793" s="1" t="s">
        <v>830</v>
      </c>
      <c r="B793" s="1" t="s">
        <v>832</v>
      </c>
      <c r="C793" s="1" t="s">
        <v>43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4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f t="shared" si="24"/>
        <v>0</v>
      </c>
      <c r="T793" s="1">
        <v>41036</v>
      </c>
      <c r="U793" s="5">
        <f t="shared" si="25"/>
        <v>0</v>
      </c>
    </row>
    <row r="794" spans="1:21">
      <c r="A794" s="1" t="s">
        <v>830</v>
      </c>
      <c r="B794" s="1" t="s">
        <v>833</v>
      </c>
      <c r="C794" s="1" t="s">
        <v>45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4">
        <v>0</v>
      </c>
      <c r="N794" s="1">
        <v>0</v>
      </c>
      <c r="O794" s="1">
        <v>0</v>
      </c>
      <c r="P794" s="1">
        <v>0</v>
      </c>
      <c r="Q794" s="1">
        <v>0</v>
      </c>
      <c r="R794" s="1">
        <v>1</v>
      </c>
      <c r="S794" s="1">
        <f t="shared" si="24"/>
        <v>2</v>
      </c>
      <c r="T794" s="1">
        <v>42399</v>
      </c>
      <c r="U794" s="5">
        <f t="shared" si="25"/>
        <v>4.71709238425435e-5</v>
      </c>
    </row>
    <row r="795" spans="1:21">
      <c r="A795" s="1" t="s">
        <v>830</v>
      </c>
      <c r="B795" s="1" t="s">
        <v>834</v>
      </c>
      <c r="C795" s="1" t="s">
        <v>47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4">
        <v>0</v>
      </c>
      <c r="N795" s="1">
        <v>0</v>
      </c>
      <c r="O795" s="1">
        <v>0</v>
      </c>
      <c r="P795" s="1">
        <v>0</v>
      </c>
      <c r="Q795" s="1">
        <v>0</v>
      </c>
      <c r="R795" s="1">
        <v>2</v>
      </c>
      <c r="S795" s="1">
        <f t="shared" si="24"/>
        <v>4</v>
      </c>
      <c r="T795" s="1">
        <v>43130</v>
      </c>
      <c r="U795" s="5">
        <f t="shared" si="25"/>
        <v>9.27428703918386e-5</v>
      </c>
    </row>
    <row r="796" spans="1:21">
      <c r="A796" s="1" t="s">
        <v>830</v>
      </c>
      <c r="B796" s="1" t="s">
        <v>835</v>
      </c>
      <c r="C796" s="1" t="s">
        <v>22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4">
        <v>0</v>
      </c>
      <c r="N796" s="1">
        <v>0</v>
      </c>
      <c r="O796" s="1">
        <v>0</v>
      </c>
      <c r="P796" s="1">
        <v>0</v>
      </c>
      <c r="Q796" s="1">
        <v>0</v>
      </c>
      <c r="R796" s="1">
        <v>2</v>
      </c>
      <c r="S796" s="1">
        <f t="shared" si="24"/>
        <v>4</v>
      </c>
      <c r="T796" s="1">
        <v>42278</v>
      </c>
      <c r="U796" s="5">
        <f t="shared" si="25"/>
        <v>9.46118548654146e-5</v>
      </c>
    </row>
    <row r="797" spans="1:21">
      <c r="A797" s="1" t="s">
        <v>830</v>
      </c>
      <c r="B797" s="1" t="s">
        <v>836</v>
      </c>
      <c r="C797" s="1" t="s">
        <v>24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4">
        <v>0</v>
      </c>
      <c r="N797" s="1">
        <v>0</v>
      </c>
      <c r="O797" s="1">
        <v>0</v>
      </c>
      <c r="P797" s="1">
        <v>0</v>
      </c>
      <c r="Q797" s="1">
        <v>0</v>
      </c>
      <c r="R797" s="1">
        <v>4</v>
      </c>
      <c r="S797" s="1">
        <f t="shared" si="24"/>
        <v>8</v>
      </c>
      <c r="T797" s="1">
        <v>42999</v>
      </c>
      <c r="U797" s="5">
        <f t="shared" si="25"/>
        <v>0.00018605083839159</v>
      </c>
    </row>
    <row r="798" spans="1:21">
      <c r="A798" s="1" t="s">
        <v>830</v>
      </c>
      <c r="B798" s="1" t="s">
        <v>837</v>
      </c>
      <c r="C798" s="1" t="s">
        <v>27</v>
      </c>
      <c r="D798" s="1">
        <v>1</v>
      </c>
      <c r="E798" s="1">
        <v>2</v>
      </c>
      <c r="F798" s="1">
        <v>0</v>
      </c>
      <c r="G798" s="1">
        <v>2</v>
      </c>
      <c r="H798" s="1">
        <v>0</v>
      </c>
      <c r="I798" s="1">
        <v>0</v>
      </c>
      <c r="J798" s="1">
        <v>1</v>
      </c>
      <c r="K798" s="1">
        <v>0</v>
      </c>
      <c r="L798" s="1">
        <v>0</v>
      </c>
      <c r="M798" s="4">
        <v>0</v>
      </c>
      <c r="N798" s="1">
        <v>0</v>
      </c>
      <c r="O798" s="1">
        <v>0</v>
      </c>
      <c r="P798" s="1">
        <v>0</v>
      </c>
      <c r="Q798" s="1">
        <v>0</v>
      </c>
      <c r="R798" s="1">
        <v>1</v>
      </c>
      <c r="S798" s="1">
        <f t="shared" si="24"/>
        <v>12</v>
      </c>
      <c r="T798" s="1">
        <v>44726</v>
      </c>
      <c r="U798" s="5">
        <f t="shared" si="25"/>
        <v>0.000268300317488709</v>
      </c>
    </row>
    <row r="799" spans="1:21">
      <c r="A799" s="1" t="s">
        <v>830</v>
      </c>
      <c r="B799" s="1" t="s">
        <v>838</v>
      </c>
      <c r="C799" s="1" t="s">
        <v>30</v>
      </c>
      <c r="D799" s="1">
        <v>0</v>
      </c>
      <c r="E799" s="1">
        <v>2</v>
      </c>
      <c r="F799" s="1">
        <v>0</v>
      </c>
      <c r="G799" s="1">
        <v>2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4">
        <v>0</v>
      </c>
      <c r="N799" s="1">
        <v>0</v>
      </c>
      <c r="O799" s="1">
        <v>0</v>
      </c>
      <c r="P799" s="1">
        <v>0</v>
      </c>
      <c r="Q799" s="1">
        <v>0</v>
      </c>
      <c r="R799" s="1">
        <v>1</v>
      </c>
      <c r="S799" s="1">
        <f t="shared" si="24"/>
        <v>8</v>
      </c>
      <c r="T799" s="1">
        <v>44537</v>
      </c>
      <c r="U799" s="5">
        <f t="shared" si="25"/>
        <v>0.000179625929002852</v>
      </c>
    </row>
    <row r="800" spans="1:21">
      <c r="A800" s="1" t="s">
        <v>830</v>
      </c>
      <c r="B800" s="1" t="s">
        <v>839</v>
      </c>
      <c r="C800" s="1" t="s">
        <v>33</v>
      </c>
      <c r="D800" s="1">
        <v>5</v>
      </c>
      <c r="E800" s="1">
        <v>2</v>
      </c>
      <c r="F800" s="1">
        <v>0</v>
      </c>
      <c r="G800" s="1">
        <v>0</v>
      </c>
      <c r="H800" s="1">
        <v>0</v>
      </c>
      <c r="I800" s="1">
        <v>0</v>
      </c>
      <c r="J800" s="1">
        <v>2</v>
      </c>
      <c r="K800" s="1">
        <v>0</v>
      </c>
      <c r="L800" s="1">
        <v>0</v>
      </c>
      <c r="M800" s="4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f t="shared" si="24"/>
        <v>18</v>
      </c>
      <c r="T800" s="1">
        <v>41206</v>
      </c>
      <c r="U800" s="5">
        <f t="shared" si="25"/>
        <v>0.000436829587924089</v>
      </c>
    </row>
    <row r="801" spans="1:21">
      <c r="A801" s="1" t="s">
        <v>830</v>
      </c>
      <c r="B801" s="1" t="s">
        <v>840</v>
      </c>
      <c r="C801" s="1" t="s">
        <v>36</v>
      </c>
      <c r="D801" s="1">
        <v>10</v>
      </c>
      <c r="E801" s="1">
        <v>3</v>
      </c>
      <c r="F801" s="1">
        <v>0</v>
      </c>
      <c r="G801" s="1">
        <v>0</v>
      </c>
      <c r="H801" s="1">
        <v>0</v>
      </c>
      <c r="I801" s="1">
        <v>0</v>
      </c>
      <c r="J801" s="1">
        <v>2</v>
      </c>
      <c r="K801" s="1">
        <v>0</v>
      </c>
      <c r="L801" s="1">
        <v>0</v>
      </c>
      <c r="M801" s="4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f t="shared" si="24"/>
        <v>30</v>
      </c>
      <c r="T801" s="1">
        <v>41020</v>
      </c>
      <c r="U801" s="5">
        <f t="shared" si="25"/>
        <v>0.000731350560702097</v>
      </c>
    </row>
    <row r="802" spans="1:21">
      <c r="A802" s="7" t="s">
        <v>841</v>
      </c>
      <c r="B802" s="7" t="s">
        <v>842</v>
      </c>
      <c r="C802" s="7" t="s">
        <v>41</v>
      </c>
      <c r="D802" s="7">
        <v>0</v>
      </c>
      <c r="E802" s="7">
        <v>0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4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f t="shared" si="24"/>
        <v>0</v>
      </c>
      <c r="T802" s="7">
        <v>18002</v>
      </c>
      <c r="U802" s="8">
        <f t="shared" si="25"/>
        <v>0</v>
      </c>
    </row>
    <row r="803" spans="1:21">
      <c r="A803" s="7" t="s">
        <v>841</v>
      </c>
      <c r="B803" s="7" t="s">
        <v>843</v>
      </c>
      <c r="C803" s="7" t="s">
        <v>43</v>
      </c>
      <c r="D803" s="7">
        <v>0</v>
      </c>
      <c r="E803" s="7">
        <v>0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4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f t="shared" si="24"/>
        <v>0</v>
      </c>
      <c r="T803" s="7">
        <v>17374</v>
      </c>
      <c r="U803" s="8">
        <f t="shared" si="25"/>
        <v>0</v>
      </c>
    </row>
    <row r="804" spans="1:21">
      <c r="A804" s="7" t="s">
        <v>841</v>
      </c>
      <c r="B804" s="7" t="s">
        <v>844</v>
      </c>
      <c r="C804" s="7" t="s">
        <v>45</v>
      </c>
      <c r="D804" s="7">
        <v>0</v>
      </c>
      <c r="E804" s="7">
        <v>0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4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f t="shared" si="24"/>
        <v>0</v>
      </c>
      <c r="T804" s="7">
        <v>19220</v>
      </c>
      <c r="U804" s="8">
        <f t="shared" si="25"/>
        <v>0</v>
      </c>
    </row>
    <row r="805" spans="1:21">
      <c r="A805" s="7" t="s">
        <v>841</v>
      </c>
      <c r="B805" s="7" t="s">
        <v>845</v>
      </c>
      <c r="C805" s="7" t="s">
        <v>47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4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f t="shared" si="24"/>
        <v>0</v>
      </c>
      <c r="T805" s="7">
        <v>18203</v>
      </c>
      <c r="U805" s="8">
        <f t="shared" si="25"/>
        <v>0</v>
      </c>
    </row>
    <row r="806" spans="1:21">
      <c r="A806" s="7" t="s">
        <v>841</v>
      </c>
      <c r="B806" s="7" t="s">
        <v>846</v>
      </c>
      <c r="C806" s="7" t="s">
        <v>22</v>
      </c>
      <c r="D806" s="7">
        <v>0</v>
      </c>
      <c r="E806" s="7">
        <v>0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4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f t="shared" si="24"/>
        <v>0</v>
      </c>
      <c r="T806" s="7">
        <v>22603</v>
      </c>
      <c r="U806" s="8">
        <f t="shared" si="25"/>
        <v>0</v>
      </c>
    </row>
    <row r="807" spans="1:21">
      <c r="A807" s="7" t="s">
        <v>841</v>
      </c>
      <c r="B807" s="7" t="s">
        <v>847</v>
      </c>
      <c r="C807" s="7" t="s">
        <v>24</v>
      </c>
      <c r="D807" s="7">
        <v>0</v>
      </c>
      <c r="E807" s="7">
        <v>0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4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f t="shared" si="24"/>
        <v>0</v>
      </c>
      <c r="T807" s="7">
        <v>23806</v>
      </c>
      <c r="U807" s="8">
        <f t="shared" si="25"/>
        <v>0</v>
      </c>
    </row>
    <row r="808" spans="1:21">
      <c r="A808" s="7" t="s">
        <v>841</v>
      </c>
      <c r="B808" s="7" t="s">
        <v>848</v>
      </c>
      <c r="C808" s="7" t="s">
        <v>27</v>
      </c>
      <c r="D808" s="7">
        <v>0</v>
      </c>
      <c r="E808" s="7">
        <v>0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4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f t="shared" si="24"/>
        <v>0</v>
      </c>
      <c r="T808" s="7">
        <v>23476</v>
      </c>
      <c r="U808" s="8">
        <f t="shared" si="25"/>
        <v>0</v>
      </c>
    </row>
    <row r="809" spans="1:21">
      <c r="A809" s="7" t="s">
        <v>841</v>
      </c>
      <c r="B809" s="7" t="s">
        <v>849</v>
      </c>
      <c r="C809" s="7" t="s">
        <v>30</v>
      </c>
      <c r="D809" s="7">
        <v>0</v>
      </c>
      <c r="E809" s="7">
        <v>0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4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f t="shared" si="24"/>
        <v>0</v>
      </c>
      <c r="T809" s="7">
        <v>24629</v>
      </c>
      <c r="U809" s="8">
        <f t="shared" si="25"/>
        <v>0</v>
      </c>
    </row>
    <row r="810" spans="1:21">
      <c r="A810" s="7" t="s">
        <v>841</v>
      </c>
      <c r="B810" s="7" t="s">
        <v>850</v>
      </c>
      <c r="C810" s="7" t="s">
        <v>33</v>
      </c>
      <c r="D810" s="7">
        <v>0</v>
      </c>
      <c r="E810" s="7">
        <v>0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4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f t="shared" si="24"/>
        <v>0</v>
      </c>
      <c r="T810" s="7">
        <v>28130</v>
      </c>
      <c r="U810" s="8">
        <f t="shared" si="25"/>
        <v>0</v>
      </c>
    </row>
    <row r="811" spans="1:21">
      <c r="A811" s="7" t="s">
        <v>841</v>
      </c>
      <c r="B811" s="7" t="s">
        <v>851</v>
      </c>
      <c r="C811" s="7" t="s">
        <v>36</v>
      </c>
      <c r="D811" s="7">
        <v>0</v>
      </c>
      <c r="E811" s="7">
        <v>0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4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f t="shared" si="24"/>
        <v>0</v>
      </c>
      <c r="T811" s="7">
        <v>28302</v>
      </c>
      <c r="U811" s="8">
        <f t="shared" si="25"/>
        <v>0</v>
      </c>
    </row>
    <row r="812" spans="1:21">
      <c r="A812" s="7" t="s">
        <v>852</v>
      </c>
      <c r="B812" s="7" t="s">
        <v>853</v>
      </c>
      <c r="C812" s="7" t="s">
        <v>41</v>
      </c>
      <c r="D812" s="7">
        <v>0</v>
      </c>
      <c r="E812" s="7">
        <v>0</v>
      </c>
      <c r="F812" s="7">
        <v>0</v>
      </c>
      <c r="G812" s="7">
        <v>1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4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f t="shared" si="24"/>
        <v>1</v>
      </c>
      <c r="T812" s="7">
        <v>96033</v>
      </c>
      <c r="U812" s="8">
        <f t="shared" si="25"/>
        <v>1.04130871679527e-5</v>
      </c>
    </row>
    <row r="813" spans="1:21">
      <c r="A813" s="7" t="s">
        <v>852</v>
      </c>
      <c r="B813" s="7" t="s">
        <v>854</v>
      </c>
      <c r="C813" s="7" t="s">
        <v>43</v>
      </c>
      <c r="D813" s="7">
        <v>0</v>
      </c>
      <c r="E813" s="7">
        <v>0</v>
      </c>
      <c r="F813" s="7">
        <v>0</v>
      </c>
      <c r="G813" s="7">
        <v>1</v>
      </c>
      <c r="H813" s="7">
        <v>0</v>
      </c>
      <c r="I813" s="7">
        <v>1</v>
      </c>
      <c r="J813" s="7">
        <v>0</v>
      </c>
      <c r="K813" s="7">
        <v>0</v>
      </c>
      <c r="L813" s="7">
        <v>0</v>
      </c>
      <c r="M813" s="4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f t="shared" si="24"/>
        <v>3</v>
      </c>
      <c r="T813" s="7">
        <v>86015</v>
      </c>
      <c r="U813" s="8">
        <f t="shared" si="25"/>
        <v>3.48776376213451e-5</v>
      </c>
    </row>
    <row r="814" spans="1:21">
      <c r="A814" s="7" t="s">
        <v>852</v>
      </c>
      <c r="B814" s="7" t="s">
        <v>855</v>
      </c>
      <c r="C814" s="7" t="s">
        <v>45</v>
      </c>
      <c r="D814" s="7">
        <v>0</v>
      </c>
      <c r="E814" s="7">
        <v>0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4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f t="shared" si="24"/>
        <v>0</v>
      </c>
      <c r="T814" s="7">
        <v>95079</v>
      </c>
      <c r="U814" s="8">
        <f t="shared" si="25"/>
        <v>0</v>
      </c>
    </row>
    <row r="815" spans="1:21">
      <c r="A815" s="7" t="s">
        <v>852</v>
      </c>
      <c r="B815" s="7" t="s">
        <v>856</v>
      </c>
      <c r="C815" s="7" t="s">
        <v>47</v>
      </c>
      <c r="D815" s="7">
        <v>0</v>
      </c>
      <c r="E815" s="7">
        <v>0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4">
        <v>0</v>
      </c>
      <c r="N815" s="7">
        <v>0</v>
      </c>
      <c r="O815" s="7">
        <v>0</v>
      </c>
      <c r="P815" s="7">
        <v>0</v>
      </c>
      <c r="Q815" s="7">
        <v>0</v>
      </c>
      <c r="R815" s="7">
        <v>1</v>
      </c>
      <c r="S815" s="7">
        <f t="shared" si="24"/>
        <v>2</v>
      </c>
      <c r="T815" s="7">
        <v>96551</v>
      </c>
      <c r="U815" s="8">
        <f t="shared" si="25"/>
        <v>2.07144410725938e-5</v>
      </c>
    </row>
    <row r="816" spans="1:21">
      <c r="A816" s="7" t="s">
        <v>852</v>
      </c>
      <c r="B816" s="7" t="s">
        <v>857</v>
      </c>
      <c r="C816" s="7" t="s">
        <v>22</v>
      </c>
      <c r="D816" s="7">
        <v>2</v>
      </c>
      <c r="E816" s="7">
        <v>1</v>
      </c>
      <c r="F816" s="7">
        <v>0</v>
      </c>
      <c r="G816" s="7">
        <v>2</v>
      </c>
      <c r="H816" s="7">
        <v>0</v>
      </c>
      <c r="I816" s="7">
        <v>2</v>
      </c>
      <c r="J816" s="7">
        <v>6</v>
      </c>
      <c r="K816" s="7">
        <v>0</v>
      </c>
      <c r="L816" s="7">
        <v>0</v>
      </c>
      <c r="M816" s="4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f t="shared" si="24"/>
        <v>24</v>
      </c>
      <c r="T816" s="7">
        <v>103664</v>
      </c>
      <c r="U816" s="8">
        <f t="shared" si="25"/>
        <v>0.000231517209445902</v>
      </c>
    </row>
    <row r="817" spans="1:21">
      <c r="A817" s="7" t="s">
        <v>852</v>
      </c>
      <c r="B817" s="7" t="s">
        <v>858</v>
      </c>
      <c r="C817" s="7" t="s">
        <v>24</v>
      </c>
      <c r="D817" s="7">
        <v>1</v>
      </c>
      <c r="E817" s="7">
        <v>2</v>
      </c>
      <c r="F817" s="7">
        <v>0</v>
      </c>
      <c r="G817" s="7">
        <v>0</v>
      </c>
      <c r="H817" s="7">
        <v>1</v>
      </c>
      <c r="I817" s="7">
        <v>0</v>
      </c>
      <c r="J817" s="7">
        <v>1</v>
      </c>
      <c r="K817" s="7">
        <v>1</v>
      </c>
      <c r="L817" s="7">
        <v>0</v>
      </c>
      <c r="M817" s="4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f t="shared" si="24"/>
        <v>12</v>
      </c>
      <c r="T817" s="7">
        <v>116816</v>
      </c>
      <c r="U817" s="8">
        <f t="shared" si="25"/>
        <v>0.000102725654019997</v>
      </c>
    </row>
    <row r="818" spans="1:21">
      <c r="A818" s="7" t="s">
        <v>852</v>
      </c>
      <c r="B818" s="7" t="s">
        <v>859</v>
      </c>
      <c r="C818" s="7" t="s">
        <v>27</v>
      </c>
      <c r="D818" s="7">
        <v>1</v>
      </c>
      <c r="E818" s="7">
        <v>0</v>
      </c>
      <c r="F818" s="7">
        <v>0</v>
      </c>
      <c r="G818" s="7">
        <v>0</v>
      </c>
      <c r="H818" s="7">
        <v>1</v>
      </c>
      <c r="I818" s="7">
        <v>1</v>
      </c>
      <c r="J818" s="7">
        <v>1</v>
      </c>
      <c r="K818" s="7">
        <v>1</v>
      </c>
      <c r="L818" s="7">
        <v>0</v>
      </c>
      <c r="M818" s="4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f t="shared" si="24"/>
        <v>10</v>
      </c>
      <c r="T818" s="7">
        <v>125273</v>
      </c>
      <c r="U818" s="8">
        <f t="shared" si="25"/>
        <v>7.98256607569069e-5</v>
      </c>
    </row>
    <row r="819" spans="1:21">
      <c r="A819" s="7" t="s">
        <v>852</v>
      </c>
      <c r="B819" s="7" t="s">
        <v>860</v>
      </c>
      <c r="C819" s="7" t="s">
        <v>30</v>
      </c>
      <c r="D819" s="7">
        <v>4</v>
      </c>
      <c r="E819" s="7">
        <v>0</v>
      </c>
      <c r="F819" s="7">
        <v>0</v>
      </c>
      <c r="G819" s="7">
        <v>1</v>
      </c>
      <c r="H819" s="7">
        <v>3</v>
      </c>
      <c r="I819" s="7">
        <v>5</v>
      </c>
      <c r="J819" s="7">
        <v>3</v>
      </c>
      <c r="K819" s="7">
        <v>1</v>
      </c>
      <c r="L819" s="7">
        <v>0</v>
      </c>
      <c r="M819" s="4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f t="shared" si="24"/>
        <v>33</v>
      </c>
      <c r="T819" s="7">
        <v>136147</v>
      </c>
      <c r="U819" s="8">
        <f t="shared" si="25"/>
        <v>0.000242385069079745</v>
      </c>
    </row>
    <row r="820" spans="1:21">
      <c r="A820" s="7" t="s">
        <v>852</v>
      </c>
      <c r="B820" s="7" t="s">
        <v>861</v>
      </c>
      <c r="C820" s="7" t="s">
        <v>33</v>
      </c>
      <c r="D820" s="7">
        <v>4</v>
      </c>
      <c r="E820" s="7">
        <v>0</v>
      </c>
      <c r="F820" s="7">
        <v>0</v>
      </c>
      <c r="G820" s="7">
        <v>2</v>
      </c>
      <c r="H820" s="7">
        <v>3</v>
      </c>
      <c r="I820" s="7">
        <v>2</v>
      </c>
      <c r="J820" s="7">
        <v>0</v>
      </c>
      <c r="K820" s="7">
        <v>0</v>
      </c>
      <c r="L820" s="7">
        <v>0</v>
      </c>
      <c r="M820" s="4">
        <v>0</v>
      </c>
      <c r="N820" s="7">
        <v>0</v>
      </c>
      <c r="O820" s="7">
        <v>0</v>
      </c>
      <c r="P820" s="7">
        <v>0</v>
      </c>
      <c r="Q820" s="7">
        <v>0</v>
      </c>
      <c r="R820" s="7">
        <v>2</v>
      </c>
      <c r="S820" s="7">
        <f t="shared" si="24"/>
        <v>24</v>
      </c>
      <c r="T820" s="7">
        <v>136358</v>
      </c>
      <c r="U820" s="8">
        <f t="shared" si="25"/>
        <v>0.000176007274967365</v>
      </c>
    </row>
    <row r="821" spans="1:21">
      <c r="A821" s="7" t="s">
        <v>852</v>
      </c>
      <c r="B821" s="7" t="s">
        <v>862</v>
      </c>
      <c r="C821" s="7" t="s">
        <v>36</v>
      </c>
      <c r="D821" s="7">
        <v>5</v>
      </c>
      <c r="E821" s="7">
        <v>6</v>
      </c>
      <c r="F821" s="7">
        <v>0</v>
      </c>
      <c r="G821" s="7">
        <v>2</v>
      </c>
      <c r="H821" s="7">
        <v>1</v>
      </c>
      <c r="I821" s="7">
        <v>1</v>
      </c>
      <c r="J821" s="7">
        <v>3</v>
      </c>
      <c r="K821" s="7">
        <v>0</v>
      </c>
      <c r="L821" s="7">
        <v>0</v>
      </c>
      <c r="M821" s="4">
        <v>0</v>
      </c>
      <c r="N821" s="7">
        <v>0</v>
      </c>
      <c r="O821" s="7">
        <v>0</v>
      </c>
      <c r="P821" s="7">
        <v>0</v>
      </c>
      <c r="Q821" s="7">
        <v>0</v>
      </c>
      <c r="R821" s="7">
        <v>1</v>
      </c>
      <c r="S821" s="7">
        <f t="shared" si="24"/>
        <v>36</v>
      </c>
      <c r="T821" s="7">
        <v>136922</v>
      </c>
      <c r="U821" s="8">
        <f t="shared" si="25"/>
        <v>0.000262923416251589</v>
      </c>
    </row>
    <row r="822" spans="1:21">
      <c r="A822" s="7" t="s">
        <v>863</v>
      </c>
      <c r="B822" s="7" t="s">
        <v>864</v>
      </c>
      <c r="C822" s="7" t="s">
        <v>45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4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f t="shared" si="24"/>
        <v>0</v>
      </c>
      <c r="T822" s="7">
        <v>30401</v>
      </c>
      <c r="U822" s="8">
        <f t="shared" si="25"/>
        <v>0</v>
      </c>
    </row>
    <row r="823" spans="1:21">
      <c r="A823" s="7" t="s">
        <v>863</v>
      </c>
      <c r="B823" s="7" t="s">
        <v>865</v>
      </c>
      <c r="C823" s="7" t="s">
        <v>47</v>
      </c>
      <c r="D823" s="7">
        <v>0</v>
      </c>
      <c r="E823" s="7">
        <v>0</v>
      </c>
      <c r="F823" s="7">
        <v>0</v>
      </c>
      <c r="G823" s="7">
        <v>0</v>
      </c>
      <c r="H823" s="7">
        <v>0</v>
      </c>
      <c r="I823" s="7">
        <v>0</v>
      </c>
      <c r="J823" s="7">
        <v>2</v>
      </c>
      <c r="K823" s="7">
        <v>0</v>
      </c>
      <c r="L823" s="7">
        <v>0</v>
      </c>
      <c r="M823" s="4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f t="shared" si="24"/>
        <v>4</v>
      </c>
      <c r="T823" s="7">
        <v>30672</v>
      </c>
      <c r="U823" s="8">
        <f t="shared" si="25"/>
        <v>0.000130412102243088</v>
      </c>
    </row>
    <row r="824" spans="1:21">
      <c r="A824" s="7" t="s">
        <v>863</v>
      </c>
      <c r="B824" s="7" t="s">
        <v>866</v>
      </c>
      <c r="C824" s="7" t="s">
        <v>22</v>
      </c>
      <c r="D824" s="7">
        <v>0</v>
      </c>
      <c r="E824" s="7">
        <v>0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4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f t="shared" si="24"/>
        <v>0</v>
      </c>
      <c r="T824" s="7">
        <v>29420</v>
      </c>
      <c r="U824" s="8">
        <f t="shared" si="25"/>
        <v>0</v>
      </c>
    </row>
    <row r="825" spans="1:21">
      <c r="A825" s="7" t="s">
        <v>863</v>
      </c>
      <c r="B825" s="7" t="s">
        <v>867</v>
      </c>
      <c r="C825" s="7" t="s">
        <v>24</v>
      </c>
      <c r="D825" s="7">
        <v>0</v>
      </c>
      <c r="E825" s="7">
        <v>0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4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f t="shared" si="24"/>
        <v>0</v>
      </c>
      <c r="T825" s="7">
        <v>30111</v>
      </c>
      <c r="U825" s="8">
        <f t="shared" si="25"/>
        <v>0</v>
      </c>
    </row>
    <row r="826" spans="1:21">
      <c r="A826" s="7" t="s">
        <v>863</v>
      </c>
      <c r="B826" s="7" t="s">
        <v>868</v>
      </c>
      <c r="C826" s="7" t="s">
        <v>27</v>
      </c>
      <c r="D826" s="7">
        <v>0</v>
      </c>
      <c r="E826" s="7">
        <v>0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4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f t="shared" si="24"/>
        <v>0</v>
      </c>
      <c r="T826" s="7">
        <v>32988</v>
      </c>
      <c r="U826" s="8">
        <f t="shared" si="25"/>
        <v>0</v>
      </c>
    </row>
    <row r="827" spans="1:21">
      <c r="A827" s="7" t="s">
        <v>863</v>
      </c>
      <c r="B827" s="7" t="s">
        <v>869</v>
      </c>
      <c r="C827" s="7" t="s">
        <v>30</v>
      </c>
      <c r="D827" s="7">
        <v>1</v>
      </c>
      <c r="E827" s="7">
        <v>0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4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f t="shared" si="24"/>
        <v>2</v>
      </c>
      <c r="T827" s="7">
        <v>34848</v>
      </c>
      <c r="U827" s="8">
        <f t="shared" si="25"/>
        <v>5.73921028466483e-5</v>
      </c>
    </row>
    <row r="828" spans="1:21">
      <c r="A828" s="7" t="s">
        <v>863</v>
      </c>
      <c r="B828" s="7" t="s">
        <v>870</v>
      </c>
      <c r="C828" s="7" t="s">
        <v>36</v>
      </c>
      <c r="D828" s="7">
        <v>1</v>
      </c>
      <c r="E828" s="7">
        <v>0</v>
      </c>
      <c r="F828" s="7">
        <v>0</v>
      </c>
      <c r="G828" s="7">
        <v>1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4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f t="shared" si="24"/>
        <v>3</v>
      </c>
      <c r="T828" s="7">
        <v>36975</v>
      </c>
      <c r="U828" s="8">
        <f t="shared" si="25"/>
        <v>8.11359026369168e-5</v>
      </c>
    </row>
    <row r="829" spans="1:21">
      <c r="A829" s="7" t="s">
        <v>863</v>
      </c>
      <c r="B829" s="7" t="s">
        <v>871</v>
      </c>
      <c r="C829" s="7">
        <v>2022</v>
      </c>
      <c r="D829" s="7">
        <v>0</v>
      </c>
      <c r="E829" s="7">
        <v>0</v>
      </c>
      <c r="F829" s="7">
        <v>0</v>
      </c>
      <c r="G829" s="7">
        <v>0</v>
      </c>
      <c r="H829" s="7">
        <v>0</v>
      </c>
      <c r="I829" s="7">
        <v>1</v>
      </c>
      <c r="J829" s="7">
        <v>0</v>
      </c>
      <c r="K829" s="7">
        <v>0</v>
      </c>
      <c r="L829" s="7">
        <v>0</v>
      </c>
      <c r="M829" s="4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f t="shared" si="24"/>
        <v>2</v>
      </c>
      <c r="T829" s="7">
        <v>33720</v>
      </c>
      <c r="U829" s="8">
        <f t="shared" si="25"/>
        <v>5.93119810201661e-5</v>
      </c>
    </row>
    <row r="830" spans="1:21">
      <c r="A830" s="7" t="s">
        <v>872</v>
      </c>
      <c r="B830" s="7" t="s">
        <v>873</v>
      </c>
      <c r="C830" s="7">
        <v>2015</v>
      </c>
      <c r="D830" s="7">
        <v>0</v>
      </c>
      <c r="E830" s="7">
        <v>0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4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f t="shared" si="24"/>
        <v>0</v>
      </c>
      <c r="T830" s="7">
        <v>14043</v>
      </c>
      <c r="U830" s="8">
        <f t="shared" si="25"/>
        <v>0</v>
      </c>
    </row>
    <row r="831" spans="1:21">
      <c r="A831" s="7" t="s">
        <v>872</v>
      </c>
      <c r="B831" s="7" t="s">
        <v>874</v>
      </c>
      <c r="C831" s="7" t="s">
        <v>36</v>
      </c>
      <c r="D831" s="7">
        <v>0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4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f t="shared" si="24"/>
        <v>0</v>
      </c>
      <c r="T831" s="7">
        <v>29499</v>
      </c>
      <c r="U831" s="8">
        <f t="shared" si="25"/>
        <v>0</v>
      </c>
    </row>
    <row r="832" spans="1:21">
      <c r="A832" s="7" t="s">
        <v>872</v>
      </c>
      <c r="B832" s="7" t="s">
        <v>875</v>
      </c>
      <c r="C832" s="7" t="s">
        <v>33</v>
      </c>
      <c r="D832" s="7">
        <v>0</v>
      </c>
      <c r="E832" s="7">
        <v>0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4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f t="shared" si="24"/>
        <v>0</v>
      </c>
      <c r="T832" s="7">
        <v>28206</v>
      </c>
      <c r="U832" s="8">
        <f t="shared" si="25"/>
        <v>0</v>
      </c>
    </row>
    <row r="833" spans="1:21">
      <c r="A833" s="7" t="s">
        <v>872</v>
      </c>
      <c r="B833" s="7" t="s">
        <v>876</v>
      </c>
      <c r="C833" s="7">
        <v>2016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4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f t="shared" si="24"/>
        <v>0</v>
      </c>
      <c r="T833" s="7">
        <v>26743</v>
      </c>
      <c r="U833" s="8">
        <f t="shared" si="25"/>
        <v>0</v>
      </c>
    </row>
    <row r="834" spans="1:21">
      <c r="A834" s="7" t="s">
        <v>872</v>
      </c>
      <c r="B834" s="7" t="s">
        <v>877</v>
      </c>
      <c r="C834" s="7">
        <v>2017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4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f t="shared" ref="S834:S897" si="26">D834*2+E834*2+F834*2+G834*1+H834*2+I834*2+J834*2+K834*2+L834*2+M834*2+N834*2+O834*2+P834*2+Q834*2+R834*2</f>
        <v>0</v>
      </c>
      <c r="T834" s="7">
        <v>27812</v>
      </c>
      <c r="U834" s="8">
        <f t="shared" ref="U834:U897" si="27">S834/T834</f>
        <v>0</v>
      </c>
    </row>
    <row r="835" spans="1:21">
      <c r="A835" s="7" t="s">
        <v>872</v>
      </c>
      <c r="B835" s="7" t="s">
        <v>878</v>
      </c>
      <c r="C835" s="7">
        <v>2018</v>
      </c>
      <c r="D835" s="7">
        <v>0</v>
      </c>
      <c r="E835" s="7">
        <v>0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4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f t="shared" si="26"/>
        <v>0</v>
      </c>
      <c r="T835" s="7">
        <v>28579</v>
      </c>
      <c r="U835" s="8">
        <f t="shared" si="27"/>
        <v>0</v>
      </c>
    </row>
    <row r="836" spans="1:21">
      <c r="A836" s="7" t="s">
        <v>872</v>
      </c>
      <c r="B836" s="7" t="s">
        <v>879</v>
      </c>
      <c r="C836" s="7">
        <v>2019</v>
      </c>
      <c r="D836" s="7">
        <v>0</v>
      </c>
      <c r="E836" s="7">
        <v>0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4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f t="shared" si="26"/>
        <v>0</v>
      </c>
      <c r="T836" s="7">
        <v>33211</v>
      </c>
      <c r="U836" s="8">
        <f t="shared" si="27"/>
        <v>0</v>
      </c>
    </row>
    <row r="837" spans="1:21">
      <c r="A837" s="7" t="s">
        <v>872</v>
      </c>
      <c r="B837" s="7" t="s">
        <v>880</v>
      </c>
      <c r="C837" s="7">
        <v>2020</v>
      </c>
      <c r="D837" s="7">
        <v>0</v>
      </c>
      <c r="E837" s="7">
        <v>0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4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f t="shared" si="26"/>
        <v>0</v>
      </c>
      <c r="T837" s="7">
        <v>26769</v>
      </c>
      <c r="U837" s="8">
        <f t="shared" si="27"/>
        <v>0</v>
      </c>
    </row>
    <row r="838" spans="1:21">
      <c r="A838" s="7" t="s">
        <v>872</v>
      </c>
      <c r="B838" s="7" t="s">
        <v>881</v>
      </c>
      <c r="C838" s="7" t="s">
        <v>30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4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f t="shared" si="26"/>
        <v>0</v>
      </c>
      <c r="T838" s="7">
        <v>25930</v>
      </c>
      <c r="U838" s="8">
        <f t="shared" si="27"/>
        <v>0</v>
      </c>
    </row>
    <row r="839" spans="1:21">
      <c r="A839" s="7" t="s">
        <v>872</v>
      </c>
      <c r="B839" s="7" t="s">
        <v>882</v>
      </c>
      <c r="C839" s="7" t="s">
        <v>41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4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f t="shared" si="26"/>
        <v>0</v>
      </c>
      <c r="T839" s="7">
        <v>17336</v>
      </c>
      <c r="U839" s="8">
        <f t="shared" si="27"/>
        <v>0</v>
      </c>
    </row>
    <row r="840" spans="1:21">
      <c r="A840" s="7" t="s">
        <v>883</v>
      </c>
      <c r="B840" s="7" t="s">
        <v>884</v>
      </c>
      <c r="C840" s="7" t="s">
        <v>45</v>
      </c>
      <c r="D840" s="7">
        <v>0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4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f t="shared" si="26"/>
        <v>0</v>
      </c>
      <c r="T840" s="7">
        <v>44305</v>
      </c>
      <c r="U840" s="8">
        <f t="shared" si="27"/>
        <v>0</v>
      </c>
    </row>
    <row r="841" spans="1:21">
      <c r="A841" s="7" t="s">
        <v>883</v>
      </c>
      <c r="B841" s="7" t="s">
        <v>885</v>
      </c>
      <c r="C841" s="7" t="s">
        <v>22</v>
      </c>
      <c r="D841" s="7">
        <v>1</v>
      </c>
      <c r="E841" s="7">
        <v>1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4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f t="shared" si="26"/>
        <v>4</v>
      </c>
      <c r="T841" s="7">
        <v>51402</v>
      </c>
      <c r="U841" s="8">
        <f t="shared" si="27"/>
        <v>7.78179837360414e-5</v>
      </c>
    </row>
    <row r="842" spans="1:21">
      <c r="A842" s="7" t="s">
        <v>883</v>
      </c>
      <c r="B842" s="7" t="s">
        <v>886</v>
      </c>
      <c r="C842" s="7">
        <v>2023</v>
      </c>
      <c r="D842" s="7">
        <v>26</v>
      </c>
      <c r="E842" s="7">
        <v>0</v>
      </c>
      <c r="F842" s="7">
        <v>0</v>
      </c>
      <c r="G842" s="7">
        <v>32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4">
        <v>0</v>
      </c>
      <c r="N842" s="7">
        <v>0</v>
      </c>
      <c r="O842" s="7">
        <v>0</v>
      </c>
      <c r="P842" s="7">
        <v>0</v>
      </c>
      <c r="Q842" s="7">
        <v>0</v>
      </c>
      <c r="R842" s="7">
        <v>1</v>
      </c>
      <c r="S842" s="7">
        <f t="shared" si="26"/>
        <v>86</v>
      </c>
      <c r="T842" s="7">
        <v>62626</v>
      </c>
      <c r="U842" s="8">
        <f t="shared" si="27"/>
        <v>0.00137323156516463</v>
      </c>
    </row>
    <row r="843" spans="1:21">
      <c r="A843" s="7" t="s">
        <v>883</v>
      </c>
      <c r="B843" s="7" t="s">
        <v>217</v>
      </c>
      <c r="C843" s="7" t="s">
        <v>41</v>
      </c>
      <c r="D843" s="7">
        <v>0</v>
      </c>
      <c r="E843" s="7">
        <v>0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4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f t="shared" si="26"/>
        <v>0</v>
      </c>
      <c r="T843" s="7">
        <v>35530</v>
      </c>
      <c r="U843" s="8">
        <f t="shared" si="27"/>
        <v>0</v>
      </c>
    </row>
    <row r="844" spans="1:21">
      <c r="A844" s="7" t="s">
        <v>883</v>
      </c>
      <c r="B844" s="7" t="s">
        <v>887</v>
      </c>
      <c r="C844" s="7" t="s">
        <v>30</v>
      </c>
      <c r="D844" s="7">
        <v>26</v>
      </c>
      <c r="E844" s="7">
        <v>0</v>
      </c>
      <c r="F844" s="7">
        <v>0</v>
      </c>
      <c r="G844" s="7">
        <v>25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4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f t="shared" si="26"/>
        <v>77</v>
      </c>
      <c r="T844" s="7">
        <v>59425</v>
      </c>
      <c r="U844" s="8">
        <f t="shared" si="27"/>
        <v>0.00129575094657131</v>
      </c>
    </row>
    <row r="845" spans="1:21">
      <c r="A845" s="7" t="s">
        <v>883</v>
      </c>
      <c r="B845" s="7" t="s">
        <v>888</v>
      </c>
      <c r="C845" s="7" t="s">
        <v>33</v>
      </c>
      <c r="D845" s="7">
        <v>21</v>
      </c>
      <c r="E845" s="7">
        <v>0</v>
      </c>
      <c r="F845" s="7">
        <v>0</v>
      </c>
      <c r="G845" s="7">
        <v>21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4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f t="shared" si="26"/>
        <v>63</v>
      </c>
      <c r="T845" s="7">
        <v>61684</v>
      </c>
      <c r="U845" s="8">
        <f t="shared" si="27"/>
        <v>0.0010213345438039</v>
      </c>
    </row>
    <row r="846" spans="1:21">
      <c r="A846" s="7" t="s">
        <v>883</v>
      </c>
      <c r="B846" s="7" t="s">
        <v>889</v>
      </c>
      <c r="C846" s="7" t="s">
        <v>43</v>
      </c>
      <c r="D846" s="7">
        <v>0</v>
      </c>
      <c r="E846" s="7">
        <v>0</v>
      </c>
      <c r="F846" s="7">
        <v>0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4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f t="shared" si="26"/>
        <v>0</v>
      </c>
      <c r="T846" s="7">
        <v>32668</v>
      </c>
      <c r="U846" s="8">
        <f t="shared" si="27"/>
        <v>0</v>
      </c>
    </row>
    <row r="847" spans="1:21">
      <c r="A847" s="7" t="s">
        <v>883</v>
      </c>
      <c r="B847" s="7" t="s">
        <v>890</v>
      </c>
      <c r="C847" s="7" t="s">
        <v>24</v>
      </c>
      <c r="D847" s="7">
        <v>20</v>
      </c>
      <c r="E847" s="7">
        <v>0</v>
      </c>
      <c r="F847" s="7">
        <v>0</v>
      </c>
      <c r="G847" s="7">
        <v>11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4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f t="shared" si="26"/>
        <v>51</v>
      </c>
      <c r="T847" s="7">
        <v>51829</v>
      </c>
      <c r="U847" s="8">
        <f t="shared" si="27"/>
        <v>0.000984005093673426</v>
      </c>
    </row>
    <row r="848" spans="1:21">
      <c r="A848" s="7" t="s">
        <v>883</v>
      </c>
      <c r="B848" s="7" t="s">
        <v>891</v>
      </c>
      <c r="C848" s="7" t="s">
        <v>27</v>
      </c>
      <c r="D848" s="7">
        <v>21</v>
      </c>
      <c r="E848" s="7">
        <v>0</v>
      </c>
      <c r="F848" s="7">
        <v>0</v>
      </c>
      <c r="G848" s="7">
        <v>18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4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f t="shared" si="26"/>
        <v>60</v>
      </c>
      <c r="T848" s="7">
        <v>57241</v>
      </c>
      <c r="U848" s="8">
        <f t="shared" si="27"/>
        <v>0.00104819971698608</v>
      </c>
    </row>
    <row r="849" spans="1:21">
      <c r="A849" s="7" t="s">
        <v>883</v>
      </c>
      <c r="B849" s="7" t="s">
        <v>892</v>
      </c>
      <c r="C849" s="7" t="s">
        <v>47</v>
      </c>
      <c r="D849" s="7">
        <v>0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4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f t="shared" si="26"/>
        <v>0</v>
      </c>
      <c r="T849" s="7">
        <v>52753</v>
      </c>
      <c r="U849" s="8">
        <f t="shared" si="27"/>
        <v>0</v>
      </c>
    </row>
    <row r="850" spans="1:21">
      <c r="A850" s="7" t="s">
        <v>893</v>
      </c>
      <c r="B850" s="7" t="s">
        <v>894</v>
      </c>
      <c r="C850" s="7" t="s">
        <v>41</v>
      </c>
      <c r="D850" s="7">
        <v>0</v>
      </c>
      <c r="E850" s="7">
        <v>0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4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f t="shared" si="26"/>
        <v>0</v>
      </c>
      <c r="T850" s="7">
        <v>23388</v>
      </c>
      <c r="U850" s="8">
        <f t="shared" si="27"/>
        <v>0</v>
      </c>
    </row>
    <row r="851" spans="1:21">
      <c r="A851" s="7" t="s">
        <v>893</v>
      </c>
      <c r="B851" s="7" t="s">
        <v>895</v>
      </c>
      <c r="C851" s="7" t="s">
        <v>43</v>
      </c>
      <c r="D851" s="7">
        <v>0</v>
      </c>
      <c r="E851" s="7">
        <v>0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4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f t="shared" si="26"/>
        <v>0</v>
      </c>
      <c r="T851" s="7">
        <v>24633</v>
      </c>
      <c r="U851" s="8">
        <f t="shared" si="27"/>
        <v>0</v>
      </c>
    </row>
    <row r="852" spans="1:21">
      <c r="A852" s="7" t="s">
        <v>893</v>
      </c>
      <c r="B852" s="7" t="s">
        <v>896</v>
      </c>
      <c r="C852" s="7" t="s">
        <v>45</v>
      </c>
      <c r="D852" s="7">
        <v>0</v>
      </c>
      <c r="E852" s="7">
        <v>0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4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f t="shared" si="26"/>
        <v>0</v>
      </c>
      <c r="T852" s="7">
        <v>23815</v>
      </c>
      <c r="U852" s="8">
        <f t="shared" si="27"/>
        <v>0</v>
      </c>
    </row>
    <row r="853" spans="1:21">
      <c r="A853" s="7" t="s">
        <v>893</v>
      </c>
      <c r="B853" s="7" t="s">
        <v>897</v>
      </c>
      <c r="C853" s="7">
        <v>2017</v>
      </c>
      <c r="D853" s="7">
        <v>0</v>
      </c>
      <c r="E853" s="7">
        <v>0</v>
      </c>
      <c r="F853" s="7">
        <v>0</v>
      </c>
      <c r="G853" s="7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4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f t="shared" si="26"/>
        <v>1</v>
      </c>
      <c r="T853" s="7">
        <v>22998</v>
      </c>
      <c r="U853" s="8">
        <f t="shared" si="27"/>
        <v>4.34820419166884e-5</v>
      </c>
    </row>
    <row r="854" spans="1:21">
      <c r="A854" s="7" t="s">
        <v>893</v>
      </c>
      <c r="B854" s="7" t="s">
        <v>898</v>
      </c>
      <c r="C854" s="7">
        <v>2018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4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f t="shared" si="26"/>
        <v>0</v>
      </c>
      <c r="T854" s="7">
        <v>25030</v>
      </c>
      <c r="U854" s="8">
        <f t="shared" si="27"/>
        <v>0</v>
      </c>
    </row>
    <row r="855" spans="1:21">
      <c r="A855" s="7" t="s">
        <v>893</v>
      </c>
      <c r="B855" s="7" t="s">
        <v>899</v>
      </c>
      <c r="C855" s="7">
        <v>2019</v>
      </c>
      <c r="D855" s="7">
        <v>0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4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f t="shared" si="26"/>
        <v>0</v>
      </c>
      <c r="T855" s="7">
        <v>27622</v>
      </c>
      <c r="U855" s="8">
        <f t="shared" si="27"/>
        <v>0</v>
      </c>
    </row>
    <row r="856" spans="1:21">
      <c r="A856" s="7" t="s">
        <v>893</v>
      </c>
      <c r="B856" s="7" t="s">
        <v>900</v>
      </c>
      <c r="C856" s="7">
        <v>2020</v>
      </c>
      <c r="D856" s="7">
        <v>0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4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f t="shared" si="26"/>
        <v>0</v>
      </c>
      <c r="T856" s="7">
        <v>32361</v>
      </c>
      <c r="U856" s="8">
        <f t="shared" si="27"/>
        <v>0</v>
      </c>
    </row>
    <row r="857" spans="1:21">
      <c r="A857" s="7" t="s">
        <v>893</v>
      </c>
      <c r="B857" s="7" t="s">
        <v>901</v>
      </c>
      <c r="C857" s="7">
        <v>2021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4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f t="shared" si="26"/>
        <v>0</v>
      </c>
      <c r="T857" s="7">
        <v>43788</v>
      </c>
      <c r="U857" s="8">
        <f t="shared" si="27"/>
        <v>0</v>
      </c>
    </row>
    <row r="858" spans="1:21">
      <c r="A858" s="7" t="s">
        <v>893</v>
      </c>
      <c r="B858" s="7" t="s">
        <v>902</v>
      </c>
      <c r="C858" s="7">
        <v>2022</v>
      </c>
      <c r="D858" s="7">
        <v>0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7">
        <v>1</v>
      </c>
      <c r="K858" s="7">
        <v>0</v>
      </c>
      <c r="L858" s="7">
        <v>0</v>
      </c>
      <c r="M858" s="4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f t="shared" si="26"/>
        <v>2</v>
      </c>
      <c r="T858" s="7">
        <v>47476</v>
      </c>
      <c r="U858" s="8">
        <f t="shared" si="27"/>
        <v>4.21265481506445e-5</v>
      </c>
    </row>
    <row r="859" spans="1:21">
      <c r="A859" s="7" t="s">
        <v>893</v>
      </c>
      <c r="B859" s="7" t="s">
        <v>903</v>
      </c>
      <c r="C859" s="7">
        <v>2023</v>
      </c>
      <c r="D859" s="7">
        <v>0</v>
      </c>
      <c r="E859" s="7">
        <v>0</v>
      </c>
      <c r="F859" s="7">
        <v>0</v>
      </c>
      <c r="G859" s="7">
        <v>0</v>
      </c>
      <c r="H859" s="7">
        <v>0</v>
      </c>
      <c r="I859" s="7">
        <v>0</v>
      </c>
      <c r="J859" s="7">
        <v>1</v>
      </c>
      <c r="K859" s="7">
        <v>0</v>
      </c>
      <c r="L859" s="7">
        <v>0</v>
      </c>
      <c r="M859" s="4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f t="shared" si="26"/>
        <v>2</v>
      </c>
      <c r="T859" s="7">
        <v>44423</v>
      </c>
      <c r="U859" s="8">
        <f t="shared" si="27"/>
        <v>4.50217229813385e-5</v>
      </c>
    </row>
    <row r="860" spans="1:21">
      <c r="A860" s="7" t="s">
        <v>904</v>
      </c>
      <c r="B860" s="7" t="s">
        <v>905</v>
      </c>
      <c r="C860" s="7" t="s">
        <v>33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4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f t="shared" si="26"/>
        <v>0</v>
      </c>
      <c r="T860" s="7">
        <v>27799</v>
      </c>
      <c r="U860" s="8">
        <f t="shared" si="27"/>
        <v>0</v>
      </c>
    </row>
    <row r="861" spans="1:21">
      <c r="A861" s="7" t="s">
        <v>904</v>
      </c>
      <c r="B861" s="7" t="s">
        <v>906</v>
      </c>
      <c r="C861" s="7">
        <v>2016</v>
      </c>
      <c r="D861" s="7">
        <v>0</v>
      </c>
      <c r="E861" s="7">
        <v>0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4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f t="shared" si="26"/>
        <v>0</v>
      </c>
      <c r="T861" s="7">
        <v>24569</v>
      </c>
      <c r="U861" s="8">
        <f t="shared" si="27"/>
        <v>0</v>
      </c>
    </row>
    <row r="862" spans="1:21">
      <c r="A862" s="7" t="s">
        <v>904</v>
      </c>
      <c r="B862" s="7" t="s">
        <v>907</v>
      </c>
      <c r="C862" s="7">
        <v>2017</v>
      </c>
      <c r="D862" s="7">
        <v>0</v>
      </c>
      <c r="E862" s="7">
        <v>0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4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f t="shared" si="26"/>
        <v>0</v>
      </c>
      <c r="T862" s="7">
        <v>24191</v>
      </c>
      <c r="U862" s="8">
        <f t="shared" si="27"/>
        <v>0</v>
      </c>
    </row>
    <row r="863" spans="1:21">
      <c r="A863" s="7" t="s">
        <v>904</v>
      </c>
      <c r="B863" s="7" t="s">
        <v>908</v>
      </c>
      <c r="C863" s="7">
        <v>2018</v>
      </c>
      <c r="D863" s="7">
        <v>0</v>
      </c>
      <c r="E863" s="7">
        <v>0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4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f t="shared" si="26"/>
        <v>0</v>
      </c>
      <c r="T863" s="7">
        <v>22608</v>
      </c>
      <c r="U863" s="8">
        <f t="shared" si="27"/>
        <v>0</v>
      </c>
    </row>
    <row r="864" spans="1:21">
      <c r="A864" s="7" t="s">
        <v>904</v>
      </c>
      <c r="B864" s="7" t="s">
        <v>909</v>
      </c>
      <c r="C864" s="7">
        <v>2019</v>
      </c>
      <c r="D864" s="7">
        <v>0</v>
      </c>
      <c r="E864" s="7">
        <v>0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4">
        <v>1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f t="shared" si="26"/>
        <v>2</v>
      </c>
      <c r="T864" s="7">
        <v>22161</v>
      </c>
      <c r="U864" s="8">
        <f t="shared" si="27"/>
        <v>9.02486349893958e-5</v>
      </c>
    </row>
    <row r="865" spans="1:21">
      <c r="A865" s="7" t="s">
        <v>904</v>
      </c>
      <c r="B865" s="7" t="s">
        <v>910</v>
      </c>
      <c r="C865" s="7" t="s">
        <v>27</v>
      </c>
      <c r="D865" s="7">
        <v>0</v>
      </c>
      <c r="E865" s="7">
        <v>0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4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f t="shared" si="26"/>
        <v>0</v>
      </c>
      <c r="T865" s="7">
        <v>23362</v>
      </c>
      <c r="U865" s="8">
        <f t="shared" si="27"/>
        <v>0</v>
      </c>
    </row>
    <row r="866" spans="1:21">
      <c r="A866" s="7" t="s">
        <v>904</v>
      </c>
      <c r="B866" s="7" t="s">
        <v>911</v>
      </c>
      <c r="C866" s="7" t="s">
        <v>33</v>
      </c>
      <c r="D866" s="7">
        <v>0</v>
      </c>
      <c r="E866" s="7">
        <v>0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4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f t="shared" si="26"/>
        <v>0</v>
      </c>
      <c r="T866" s="7">
        <v>29909</v>
      </c>
      <c r="U866" s="8">
        <f t="shared" si="27"/>
        <v>0</v>
      </c>
    </row>
    <row r="867" spans="1:21">
      <c r="A867" s="7" t="s">
        <v>912</v>
      </c>
      <c r="B867" s="7" t="s">
        <v>24</v>
      </c>
      <c r="C867" s="7" t="s">
        <v>24</v>
      </c>
      <c r="D867" s="7">
        <v>0</v>
      </c>
      <c r="E867" s="7">
        <v>0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4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f t="shared" si="26"/>
        <v>0</v>
      </c>
      <c r="T867" s="7">
        <v>45133</v>
      </c>
      <c r="U867" s="8">
        <f t="shared" si="27"/>
        <v>0</v>
      </c>
    </row>
    <row r="868" spans="1:21">
      <c r="A868" s="7" t="s">
        <v>912</v>
      </c>
      <c r="B868" s="7" t="s">
        <v>27</v>
      </c>
      <c r="C868" s="7" t="s">
        <v>27</v>
      </c>
      <c r="D868" s="7">
        <v>0</v>
      </c>
      <c r="E868" s="7">
        <v>0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4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f t="shared" si="26"/>
        <v>0</v>
      </c>
      <c r="T868" s="7">
        <v>37506</v>
      </c>
      <c r="U868" s="8">
        <f t="shared" si="27"/>
        <v>0</v>
      </c>
    </row>
    <row r="869" spans="1:21">
      <c r="A869" s="7" t="s">
        <v>912</v>
      </c>
      <c r="B869" s="7" t="s">
        <v>30</v>
      </c>
      <c r="C869" s="7" t="s">
        <v>30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4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f t="shared" si="26"/>
        <v>0</v>
      </c>
      <c r="T869" s="7">
        <v>41199</v>
      </c>
      <c r="U869" s="8">
        <f t="shared" si="27"/>
        <v>0</v>
      </c>
    </row>
    <row r="870" spans="1:21">
      <c r="A870" s="7" t="s">
        <v>912</v>
      </c>
      <c r="B870" s="7" t="s">
        <v>33</v>
      </c>
      <c r="C870" s="7" t="s">
        <v>33</v>
      </c>
      <c r="D870" s="7">
        <v>0</v>
      </c>
      <c r="E870" s="7">
        <v>0</v>
      </c>
      <c r="F870" s="7">
        <v>0</v>
      </c>
      <c r="G870" s="7">
        <v>3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4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f t="shared" si="26"/>
        <v>3</v>
      </c>
      <c r="T870" s="7">
        <v>56743</v>
      </c>
      <c r="U870" s="8">
        <f t="shared" si="27"/>
        <v>5.28699575278008e-5</v>
      </c>
    </row>
    <row r="871" spans="1:21">
      <c r="A871" s="7" t="s">
        <v>912</v>
      </c>
      <c r="B871" s="7" t="s">
        <v>36</v>
      </c>
      <c r="C871" s="7" t="s">
        <v>36</v>
      </c>
      <c r="D871" s="7">
        <v>0</v>
      </c>
      <c r="E871" s="7">
        <v>0</v>
      </c>
      <c r="F871" s="7">
        <v>0</v>
      </c>
      <c r="G871" s="7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4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f t="shared" si="26"/>
        <v>1</v>
      </c>
      <c r="T871" s="7">
        <v>48666</v>
      </c>
      <c r="U871" s="8">
        <f t="shared" si="27"/>
        <v>2.05482266880368e-5</v>
      </c>
    </row>
    <row r="872" spans="1:21">
      <c r="A872" s="7" t="s">
        <v>913</v>
      </c>
      <c r="B872" s="7" t="s">
        <v>914</v>
      </c>
      <c r="C872" s="7" t="s">
        <v>30</v>
      </c>
      <c r="D872" s="7">
        <v>0</v>
      </c>
      <c r="E872" s="7">
        <v>0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4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f t="shared" si="26"/>
        <v>0</v>
      </c>
      <c r="T872" s="7">
        <v>28182</v>
      </c>
      <c r="U872" s="8">
        <f t="shared" si="27"/>
        <v>0</v>
      </c>
    </row>
    <row r="873" spans="1:21">
      <c r="A873" s="7" t="s">
        <v>913</v>
      </c>
      <c r="B873" s="7" t="s">
        <v>51</v>
      </c>
      <c r="C873" s="7" t="s">
        <v>36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4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f t="shared" si="26"/>
        <v>0</v>
      </c>
      <c r="T873" s="7">
        <v>32851</v>
      </c>
      <c r="U873" s="8">
        <f t="shared" si="27"/>
        <v>0</v>
      </c>
    </row>
    <row r="874" spans="1:21">
      <c r="A874" s="7" t="s">
        <v>913</v>
      </c>
      <c r="B874" s="7" t="s">
        <v>915</v>
      </c>
      <c r="C874" s="7" t="s">
        <v>33</v>
      </c>
      <c r="D874" s="7">
        <v>0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4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f t="shared" si="26"/>
        <v>0</v>
      </c>
      <c r="T874" s="7">
        <v>30083</v>
      </c>
      <c r="U874" s="8">
        <f t="shared" si="27"/>
        <v>0</v>
      </c>
    </row>
    <row r="875" spans="1:21">
      <c r="A875" s="7" t="s">
        <v>913</v>
      </c>
      <c r="B875" s="7" t="s">
        <v>916</v>
      </c>
      <c r="C875" s="7" t="s">
        <v>27</v>
      </c>
      <c r="D875" s="7">
        <v>0</v>
      </c>
      <c r="E875" s="7">
        <v>0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4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f t="shared" si="26"/>
        <v>0</v>
      </c>
      <c r="T875" s="7">
        <v>53606</v>
      </c>
      <c r="U875" s="8">
        <f t="shared" si="27"/>
        <v>0</v>
      </c>
    </row>
    <row r="876" spans="1:21">
      <c r="A876" s="7" t="s">
        <v>913</v>
      </c>
      <c r="B876" s="7" t="s">
        <v>917</v>
      </c>
      <c r="C876" s="7" t="s">
        <v>47</v>
      </c>
      <c r="D876" s="7">
        <v>0</v>
      </c>
      <c r="E876" s="7">
        <v>0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4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f t="shared" si="26"/>
        <v>0</v>
      </c>
      <c r="T876" s="7">
        <v>2154</v>
      </c>
      <c r="U876" s="8">
        <f t="shared" si="27"/>
        <v>0</v>
      </c>
    </row>
    <row r="877" spans="1:21">
      <c r="A877" s="7" t="s">
        <v>913</v>
      </c>
      <c r="B877" s="7" t="s">
        <v>918</v>
      </c>
      <c r="C877" s="7" t="s">
        <v>43</v>
      </c>
      <c r="D877" s="7">
        <v>0</v>
      </c>
      <c r="E877" s="7">
        <v>0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4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f t="shared" si="26"/>
        <v>0</v>
      </c>
      <c r="T877" s="7">
        <v>20071</v>
      </c>
      <c r="U877" s="8">
        <f t="shared" si="27"/>
        <v>0</v>
      </c>
    </row>
    <row r="878" spans="1:21">
      <c r="A878" s="7" t="s">
        <v>913</v>
      </c>
      <c r="B878" s="7" t="s">
        <v>919</v>
      </c>
      <c r="C878" s="7" t="s">
        <v>45</v>
      </c>
      <c r="D878" s="7">
        <v>0</v>
      </c>
      <c r="E878" s="7">
        <v>0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4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f t="shared" si="26"/>
        <v>0</v>
      </c>
      <c r="T878" s="7">
        <v>21867</v>
      </c>
      <c r="U878" s="8">
        <f t="shared" si="27"/>
        <v>0</v>
      </c>
    </row>
    <row r="879" spans="1:21">
      <c r="A879" s="7" t="s">
        <v>913</v>
      </c>
      <c r="B879" s="7" t="s">
        <v>920</v>
      </c>
      <c r="C879" s="7" t="s">
        <v>22</v>
      </c>
      <c r="D879" s="7">
        <v>0</v>
      </c>
      <c r="E879" s="7">
        <v>0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4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f t="shared" si="26"/>
        <v>0</v>
      </c>
      <c r="T879" s="7">
        <v>22754</v>
      </c>
      <c r="U879" s="8">
        <f t="shared" si="27"/>
        <v>0</v>
      </c>
    </row>
    <row r="880" spans="1:21">
      <c r="A880" s="7" t="s">
        <v>913</v>
      </c>
      <c r="B880" s="7" t="s">
        <v>921</v>
      </c>
      <c r="C880" s="7" t="s">
        <v>24</v>
      </c>
      <c r="D880" s="7">
        <v>0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4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f t="shared" si="26"/>
        <v>0</v>
      </c>
      <c r="T880" s="7">
        <v>2251</v>
      </c>
      <c r="U880" s="8">
        <f t="shared" si="27"/>
        <v>0</v>
      </c>
    </row>
    <row r="881" spans="1:21">
      <c r="A881" s="7" t="s">
        <v>922</v>
      </c>
      <c r="B881" s="7" t="s">
        <v>30</v>
      </c>
      <c r="C881" s="7" t="s">
        <v>30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4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f t="shared" si="26"/>
        <v>0</v>
      </c>
      <c r="T881" s="7">
        <v>29807</v>
      </c>
      <c r="U881" s="8">
        <f t="shared" si="27"/>
        <v>0</v>
      </c>
    </row>
    <row r="882" spans="1:21">
      <c r="A882" s="7" t="s">
        <v>922</v>
      </c>
      <c r="B882" s="7" t="s">
        <v>923</v>
      </c>
      <c r="C882" s="7" t="s">
        <v>43</v>
      </c>
      <c r="D882" s="7">
        <v>0</v>
      </c>
      <c r="E882" s="7">
        <v>0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4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f t="shared" si="26"/>
        <v>0</v>
      </c>
      <c r="T882" s="7">
        <v>24665</v>
      </c>
      <c r="U882" s="8">
        <f t="shared" si="27"/>
        <v>0</v>
      </c>
    </row>
    <row r="883" spans="1:21">
      <c r="A883" s="7" t="s">
        <v>922</v>
      </c>
      <c r="B883" s="7" t="s">
        <v>924</v>
      </c>
      <c r="C883" s="7" t="s">
        <v>45</v>
      </c>
      <c r="D883" s="7">
        <v>0</v>
      </c>
      <c r="E883" s="7">
        <v>0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4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f t="shared" si="26"/>
        <v>0</v>
      </c>
      <c r="T883" s="7">
        <v>25441</v>
      </c>
      <c r="U883" s="8">
        <f t="shared" si="27"/>
        <v>0</v>
      </c>
    </row>
    <row r="884" spans="1:21">
      <c r="A884" s="7" t="s">
        <v>922</v>
      </c>
      <c r="B884" s="7" t="s">
        <v>925</v>
      </c>
      <c r="C884" s="7" t="s">
        <v>47</v>
      </c>
      <c r="D884" s="7">
        <v>0</v>
      </c>
      <c r="E884" s="7">
        <v>0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4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f t="shared" si="26"/>
        <v>0</v>
      </c>
      <c r="T884" s="7">
        <v>27688</v>
      </c>
      <c r="U884" s="8">
        <f t="shared" si="27"/>
        <v>0</v>
      </c>
    </row>
    <row r="885" spans="1:21">
      <c r="A885" s="7" t="s">
        <v>922</v>
      </c>
      <c r="B885" s="7" t="s">
        <v>926</v>
      </c>
      <c r="C885" s="7" t="s">
        <v>33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4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f t="shared" si="26"/>
        <v>0</v>
      </c>
      <c r="T885" s="7">
        <v>27742</v>
      </c>
      <c r="U885" s="8">
        <f t="shared" si="27"/>
        <v>0</v>
      </c>
    </row>
    <row r="886" spans="1:21">
      <c r="A886" s="7" t="s">
        <v>922</v>
      </c>
      <c r="B886" s="7" t="s">
        <v>927</v>
      </c>
      <c r="C886" s="7" t="s">
        <v>36</v>
      </c>
      <c r="D886" s="7">
        <v>0</v>
      </c>
      <c r="E886" s="7">
        <v>0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4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f t="shared" si="26"/>
        <v>0</v>
      </c>
      <c r="T886" s="7">
        <v>30610</v>
      </c>
      <c r="U886" s="8">
        <f t="shared" si="27"/>
        <v>0</v>
      </c>
    </row>
    <row r="887" spans="1:21">
      <c r="A887" s="7" t="s">
        <v>922</v>
      </c>
      <c r="B887" s="7" t="s">
        <v>928</v>
      </c>
      <c r="C887" s="7" t="s">
        <v>24</v>
      </c>
      <c r="D887" s="7">
        <v>0</v>
      </c>
      <c r="E887" s="7">
        <v>0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4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f t="shared" si="26"/>
        <v>0</v>
      </c>
      <c r="T887" s="7">
        <v>29539</v>
      </c>
      <c r="U887" s="8">
        <f t="shared" si="27"/>
        <v>0</v>
      </c>
    </row>
    <row r="888" spans="1:21">
      <c r="A888" s="7" t="s">
        <v>922</v>
      </c>
      <c r="B888" s="7" t="s">
        <v>929</v>
      </c>
      <c r="C888" s="7" t="s">
        <v>27</v>
      </c>
      <c r="D888" s="7">
        <v>0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4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f t="shared" si="26"/>
        <v>0</v>
      </c>
      <c r="T888" s="7">
        <v>30674</v>
      </c>
      <c r="U888" s="8">
        <f t="shared" si="27"/>
        <v>0</v>
      </c>
    </row>
    <row r="889" spans="1:21">
      <c r="A889" s="7" t="s">
        <v>922</v>
      </c>
      <c r="B889" s="7" t="s">
        <v>930</v>
      </c>
      <c r="C889" s="7" t="s">
        <v>22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4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f t="shared" si="26"/>
        <v>0</v>
      </c>
      <c r="T889" s="7">
        <v>31081</v>
      </c>
      <c r="U889" s="8">
        <f t="shared" si="27"/>
        <v>0</v>
      </c>
    </row>
    <row r="890" spans="1:21">
      <c r="A890" s="7" t="s">
        <v>931</v>
      </c>
      <c r="B890" s="7" t="s">
        <v>932</v>
      </c>
      <c r="C890" s="7" t="s">
        <v>24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4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f t="shared" si="26"/>
        <v>0</v>
      </c>
      <c r="T890" s="7">
        <v>34175</v>
      </c>
      <c r="U890" s="8">
        <f t="shared" si="27"/>
        <v>0</v>
      </c>
    </row>
    <row r="891" spans="1:21">
      <c r="A891" s="7" t="s">
        <v>931</v>
      </c>
      <c r="B891" s="7" t="s">
        <v>933</v>
      </c>
      <c r="C891" s="7" t="s">
        <v>30</v>
      </c>
      <c r="D891" s="7">
        <v>0</v>
      </c>
      <c r="E891" s="7">
        <v>0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4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f t="shared" si="26"/>
        <v>0</v>
      </c>
      <c r="T891" s="7">
        <v>38524</v>
      </c>
      <c r="U891" s="8">
        <f t="shared" si="27"/>
        <v>0</v>
      </c>
    </row>
    <row r="892" spans="1:21">
      <c r="A892" s="7" t="s">
        <v>931</v>
      </c>
      <c r="B892" s="7" t="s">
        <v>934</v>
      </c>
      <c r="C892" s="7" t="s">
        <v>33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4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f t="shared" si="26"/>
        <v>0</v>
      </c>
      <c r="T892" s="7">
        <v>41674</v>
      </c>
      <c r="U892" s="8">
        <f t="shared" si="27"/>
        <v>0</v>
      </c>
    </row>
    <row r="893" spans="1:21">
      <c r="A893" s="7" t="s">
        <v>931</v>
      </c>
      <c r="B893" s="7" t="s">
        <v>935</v>
      </c>
      <c r="C893" s="7" t="s">
        <v>24</v>
      </c>
      <c r="D893" s="7">
        <v>0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4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f t="shared" si="26"/>
        <v>0</v>
      </c>
      <c r="T893" s="7">
        <v>54093</v>
      </c>
      <c r="U893" s="8">
        <f t="shared" si="27"/>
        <v>0</v>
      </c>
    </row>
    <row r="894" spans="1:21">
      <c r="A894" s="7" t="s">
        <v>931</v>
      </c>
      <c r="B894" s="7" t="s">
        <v>936</v>
      </c>
      <c r="C894" s="7" t="s">
        <v>45</v>
      </c>
      <c r="D894" s="7">
        <v>0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4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f t="shared" si="26"/>
        <v>0</v>
      </c>
      <c r="T894" s="7">
        <v>29590</v>
      </c>
      <c r="U894" s="8">
        <f t="shared" si="27"/>
        <v>0</v>
      </c>
    </row>
    <row r="895" spans="1:21">
      <c r="A895" s="7" t="s">
        <v>931</v>
      </c>
      <c r="B895" s="7" t="s">
        <v>937</v>
      </c>
      <c r="C895" s="7" t="s">
        <v>33</v>
      </c>
      <c r="D895" s="7">
        <v>0</v>
      </c>
      <c r="E895" s="7">
        <v>0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4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f t="shared" si="26"/>
        <v>0</v>
      </c>
      <c r="T895" s="7">
        <v>34248</v>
      </c>
      <c r="U895" s="8">
        <f t="shared" si="27"/>
        <v>0</v>
      </c>
    </row>
    <row r="896" spans="1:21">
      <c r="A896" s="7" t="s">
        <v>931</v>
      </c>
      <c r="B896" s="7" t="s">
        <v>938</v>
      </c>
      <c r="C896" s="7" t="s">
        <v>47</v>
      </c>
      <c r="D896" s="7">
        <v>0</v>
      </c>
      <c r="E896" s="7">
        <v>0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4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f t="shared" si="26"/>
        <v>0</v>
      </c>
      <c r="T896" s="7">
        <v>31273</v>
      </c>
      <c r="U896" s="8">
        <f t="shared" si="27"/>
        <v>0</v>
      </c>
    </row>
    <row r="897" spans="1:21">
      <c r="A897" s="7" t="s">
        <v>931</v>
      </c>
      <c r="B897" s="7" t="s">
        <v>939</v>
      </c>
      <c r="C897" s="7" t="s">
        <v>36</v>
      </c>
      <c r="D897" s="7">
        <v>0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4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f t="shared" si="26"/>
        <v>0</v>
      </c>
      <c r="T897" s="7">
        <v>32655</v>
      </c>
      <c r="U897" s="8">
        <f t="shared" si="27"/>
        <v>0</v>
      </c>
    </row>
    <row r="898" spans="1:21">
      <c r="A898" s="7" t="s">
        <v>940</v>
      </c>
      <c r="B898" s="7" t="s">
        <v>941</v>
      </c>
      <c r="C898" s="7" t="s">
        <v>45</v>
      </c>
      <c r="D898" s="7">
        <v>0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4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f t="shared" ref="S898:S928" si="28">D898*2+E898*2+F898*2+G898*1+H898*2+I898*2+J898*2+K898*2+L898*2+M898*2+N898*2+O898*2+P898*2+Q898*2+R898*2</f>
        <v>0</v>
      </c>
      <c r="T898" s="7">
        <v>20677</v>
      </c>
      <c r="U898" s="8">
        <f t="shared" ref="U898:U928" si="29">S898/T898</f>
        <v>0</v>
      </c>
    </row>
    <row r="899" spans="1:21">
      <c r="A899" s="7" t="s">
        <v>940</v>
      </c>
      <c r="B899" s="7" t="s">
        <v>942</v>
      </c>
      <c r="C899" s="7" t="s">
        <v>22</v>
      </c>
      <c r="D899" s="7">
        <v>0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4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f t="shared" si="28"/>
        <v>0</v>
      </c>
      <c r="T899" s="7">
        <v>21224</v>
      </c>
      <c r="U899" s="8">
        <f t="shared" si="29"/>
        <v>0</v>
      </c>
    </row>
    <row r="900" spans="1:21">
      <c r="A900" s="7" t="s">
        <v>940</v>
      </c>
      <c r="B900" s="7" t="s">
        <v>943</v>
      </c>
      <c r="C900" s="7" t="s">
        <v>43</v>
      </c>
      <c r="D900" s="7">
        <v>0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4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f t="shared" si="28"/>
        <v>0</v>
      </c>
      <c r="T900" s="7">
        <v>20086</v>
      </c>
      <c r="U900" s="8">
        <f t="shared" si="29"/>
        <v>0</v>
      </c>
    </row>
    <row r="901" spans="1:21">
      <c r="A901" s="7" t="s">
        <v>940</v>
      </c>
      <c r="B901" s="7" t="s">
        <v>944</v>
      </c>
      <c r="C901" s="7" t="s">
        <v>24</v>
      </c>
      <c r="D901" s="7">
        <v>0</v>
      </c>
      <c r="E901" s="7">
        <v>0</v>
      </c>
      <c r="F901" s="7">
        <v>0</v>
      </c>
      <c r="G901" s="7">
        <v>0</v>
      </c>
      <c r="H901" s="7">
        <v>0</v>
      </c>
      <c r="I901" s="7">
        <v>0</v>
      </c>
      <c r="J901" s="7">
        <v>1</v>
      </c>
      <c r="K901" s="7">
        <v>0</v>
      </c>
      <c r="L901" s="7">
        <v>0</v>
      </c>
      <c r="M901" s="4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f t="shared" si="28"/>
        <v>2</v>
      </c>
      <c r="T901" s="7">
        <v>23974</v>
      </c>
      <c r="U901" s="8">
        <f t="shared" si="29"/>
        <v>8.34237090181029e-5</v>
      </c>
    </row>
    <row r="902" spans="1:21">
      <c r="A902" s="7" t="s">
        <v>940</v>
      </c>
      <c r="B902" s="7" t="s">
        <v>945</v>
      </c>
      <c r="C902" s="7">
        <v>2020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4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f t="shared" si="28"/>
        <v>0</v>
      </c>
      <c r="T902" s="7">
        <v>24292</v>
      </c>
      <c r="U902" s="8">
        <f t="shared" si="29"/>
        <v>0</v>
      </c>
    </row>
    <row r="903" spans="1:21">
      <c r="A903" s="7" t="s">
        <v>940</v>
      </c>
      <c r="B903" s="7" t="s">
        <v>946</v>
      </c>
      <c r="C903" s="7">
        <v>2021</v>
      </c>
      <c r="D903" s="7">
        <v>0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4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f t="shared" si="28"/>
        <v>0</v>
      </c>
      <c r="T903" s="7">
        <v>24280</v>
      </c>
      <c r="U903" s="8">
        <f t="shared" si="29"/>
        <v>0</v>
      </c>
    </row>
    <row r="904" spans="1:21">
      <c r="A904" s="7" t="s">
        <v>940</v>
      </c>
      <c r="B904" s="7" t="s">
        <v>947</v>
      </c>
      <c r="C904" s="7" t="s">
        <v>47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1</v>
      </c>
      <c r="K904" s="7">
        <v>0</v>
      </c>
      <c r="L904" s="7">
        <v>0</v>
      </c>
      <c r="M904" s="4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f t="shared" si="28"/>
        <v>2</v>
      </c>
      <c r="T904" s="7">
        <v>21553</v>
      </c>
      <c r="U904" s="8">
        <f t="shared" si="29"/>
        <v>9.27945065652113e-5</v>
      </c>
    </row>
    <row r="905" spans="1:21">
      <c r="A905" s="7" t="s">
        <v>940</v>
      </c>
      <c r="B905" s="7" t="s">
        <v>948</v>
      </c>
      <c r="C905" s="7">
        <v>2014</v>
      </c>
      <c r="D905" s="7">
        <v>0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4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f t="shared" si="28"/>
        <v>0</v>
      </c>
      <c r="T905" s="7">
        <v>19147</v>
      </c>
      <c r="U905" s="8">
        <f t="shared" si="29"/>
        <v>0</v>
      </c>
    </row>
    <row r="906" spans="1:21">
      <c r="A906" s="7" t="s">
        <v>940</v>
      </c>
      <c r="B906" s="7" t="s">
        <v>949</v>
      </c>
      <c r="C906" s="7" t="s">
        <v>33</v>
      </c>
      <c r="D906" s="7">
        <v>0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4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f t="shared" si="28"/>
        <v>0</v>
      </c>
      <c r="T906" s="7">
        <v>26336</v>
      </c>
      <c r="U906" s="8">
        <f t="shared" si="29"/>
        <v>0</v>
      </c>
    </row>
    <row r="907" spans="1:21">
      <c r="A907" s="7" t="s">
        <v>940</v>
      </c>
      <c r="B907" s="7" t="s">
        <v>950</v>
      </c>
      <c r="C907" s="7" t="s">
        <v>36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4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f t="shared" si="28"/>
        <v>0</v>
      </c>
      <c r="T907" s="7">
        <v>27082</v>
      </c>
      <c r="U907" s="8">
        <f t="shared" si="29"/>
        <v>0</v>
      </c>
    </row>
    <row r="908" spans="1:21">
      <c r="A908" s="7" t="s">
        <v>951</v>
      </c>
      <c r="B908" s="7" t="s">
        <v>98</v>
      </c>
      <c r="C908" s="7" t="s">
        <v>47</v>
      </c>
      <c r="D908" s="7">
        <v>0</v>
      </c>
      <c r="E908" s="7">
        <v>0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4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f t="shared" si="28"/>
        <v>0</v>
      </c>
      <c r="T908" s="7">
        <v>20814</v>
      </c>
      <c r="U908" s="8">
        <f t="shared" si="29"/>
        <v>0</v>
      </c>
    </row>
    <row r="909" spans="1:21">
      <c r="A909" s="7" t="s">
        <v>951</v>
      </c>
      <c r="B909" s="7" t="s">
        <v>99</v>
      </c>
      <c r="C909" s="7" t="s">
        <v>22</v>
      </c>
      <c r="D909" s="7">
        <v>0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4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f t="shared" si="28"/>
        <v>0</v>
      </c>
      <c r="T909" s="7">
        <v>23826</v>
      </c>
      <c r="U909" s="8">
        <f t="shared" si="29"/>
        <v>0</v>
      </c>
    </row>
    <row r="910" spans="1:21">
      <c r="A910" s="7" t="s">
        <v>951</v>
      </c>
      <c r="B910" s="7" t="s">
        <v>100</v>
      </c>
      <c r="C910" s="7" t="s">
        <v>24</v>
      </c>
      <c r="D910" s="7">
        <v>0</v>
      </c>
      <c r="E910" s="7">
        <v>0</v>
      </c>
      <c r="F910" s="7">
        <v>0</v>
      </c>
      <c r="G910" s="7">
        <v>1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4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f t="shared" si="28"/>
        <v>1</v>
      </c>
      <c r="T910" s="7">
        <v>26064</v>
      </c>
      <c r="U910" s="8">
        <f t="shared" si="29"/>
        <v>3.83670963781461e-5</v>
      </c>
    </row>
    <row r="911" spans="1:21">
      <c r="A911" s="7" t="s">
        <v>951</v>
      </c>
      <c r="B911" s="7" t="s">
        <v>50</v>
      </c>
      <c r="C911" s="7" t="s">
        <v>27</v>
      </c>
      <c r="D911" s="7">
        <v>0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4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f t="shared" si="28"/>
        <v>0</v>
      </c>
      <c r="T911" s="7">
        <v>26103</v>
      </c>
      <c r="U911" s="8">
        <f t="shared" si="29"/>
        <v>0</v>
      </c>
    </row>
    <row r="912" spans="1:21">
      <c r="A912" s="7" t="s">
        <v>951</v>
      </c>
      <c r="B912" s="7" t="s">
        <v>101</v>
      </c>
      <c r="C912" s="7" t="s">
        <v>30</v>
      </c>
      <c r="D912" s="7">
        <v>0</v>
      </c>
      <c r="E912" s="7">
        <v>1</v>
      </c>
      <c r="F912" s="7">
        <v>0</v>
      </c>
      <c r="G912" s="7">
        <v>1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4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f t="shared" si="28"/>
        <v>3</v>
      </c>
      <c r="T912" s="7">
        <v>27081</v>
      </c>
      <c r="U912" s="8">
        <f t="shared" si="29"/>
        <v>0.000110778774786751</v>
      </c>
    </row>
    <row r="913" spans="1:21">
      <c r="A913" s="7" t="s">
        <v>951</v>
      </c>
      <c r="B913" s="7" t="s">
        <v>102</v>
      </c>
      <c r="C913" s="7" t="s">
        <v>33</v>
      </c>
      <c r="D913" s="7">
        <v>0</v>
      </c>
      <c r="E913" s="7">
        <v>1</v>
      </c>
      <c r="F913" s="7">
        <v>0</v>
      </c>
      <c r="G913" s="7">
        <v>3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4">
        <v>0</v>
      </c>
      <c r="N913" s="7">
        <v>0</v>
      </c>
      <c r="O913" s="7">
        <v>1</v>
      </c>
      <c r="P913" s="7">
        <v>0</v>
      </c>
      <c r="Q913" s="7">
        <v>0</v>
      </c>
      <c r="R913" s="7">
        <v>0</v>
      </c>
      <c r="S913" s="7">
        <f t="shared" si="28"/>
        <v>7</v>
      </c>
      <c r="T913" s="7">
        <v>25543</v>
      </c>
      <c r="U913" s="8">
        <f t="shared" si="29"/>
        <v>0.000274047684297068</v>
      </c>
    </row>
    <row r="914" spans="1:21">
      <c r="A914" s="7" t="s">
        <v>951</v>
      </c>
      <c r="B914" s="7" t="s">
        <v>952</v>
      </c>
      <c r="C914" s="7" t="s">
        <v>36</v>
      </c>
      <c r="D914" s="7">
        <v>0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4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f t="shared" si="28"/>
        <v>0</v>
      </c>
      <c r="T914" s="7">
        <v>20808</v>
      </c>
      <c r="U914" s="8">
        <f t="shared" si="29"/>
        <v>0</v>
      </c>
    </row>
    <row r="915" spans="1:21">
      <c r="A915" s="7" t="s">
        <v>953</v>
      </c>
      <c r="B915" s="7" t="s">
        <v>30</v>
      </c>
      <c r="C915" s="7" t="s">
        <v>30</v>
      </c>
      <c r="D915" s="7">
        <v>14</v>
      </c>
      <c r="E915" s="7">
        <v>5</v>
      </c>
      <c r="F915" s="7">
        <v>0</v>
      </c>
      <c r="G915" s="7">
        <v>4</v>
      </c>
      <c r="H915" s="7">
        <v>0</v>
      </c>
      <c r="I915" s="7">
        <v>9</v>
      </c>
      <c r="J915" s="7">
        <v>12</v>
      </c>
      <c r="K915" s="7">
        <v>0</v>
      </c>
      <c r="L915" s="7">
        <v>0</v>
      </c>
      <c r="M915" s="4">
        <v>0</v>
      </c>
      <c r="N915" s="7">
        <v>0</v>
      </c>
      <c r="O915" s="7">
        <v>0</v>
      </c>
      <c r="P915" s="7">
        <v>2</v>
      </c>
      <c r="Q915" s="7">
        <v>0</v>
      </c>
      <c r="R915" s="7">
        <v>0</v>
      </c>
      <c r="S915" s="7">
        <f t="shared" si="28"/>
        <v>88</v>
      </c>
      <c r="T915" s="7">
        <v>395048</v>
      </c>
      <c r="U915" s="8">
        <f t="shared" si="29"/>
        <v>0.000222757740831494</v>
      </c>
    </row>
    <row r="916" spans="1:21">
      <c r="A916" s="7" t="s">
        <v>953</v>
      </c>
      <c r="B916" s="7" t="s">
        <v>954</v>
      </c>
      <c r="C916" s="7">
        <v>2020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4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f t="shared" si="28"/>
        <v>0</v>
      </c>
      <c r="T916" s="7">
        <v>178</v>
      </c>
      <c r="U916" s="8">
        <f t="shared" si="29"/>
        <v>0</v>
      </c>
    </row>
    <row r="917" spans="1:21">
      <c r="A917" s="7" t="s">
        <v>953</v>
      </c>
      <c r="B917" s="7" t="s">
        <v>955</v>
      </c>
      <c r="C917" s="7" t="s">
        <v>41</v>
      </c>
      <c r="D917" s="7">
        <v>0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4">
        <v>1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f t="shared" si="28"/>
        <v>2</v>
      </c>
      <c r="T917" s="7">
        <v>270332</v>
      </c>
      <c r="U917" s="8">
        <f t="shared" si="29"/>
        <v>7.39831022594439e-6</v>
      </c>
    </row>
    <row r="918" spans="1:21">
      <c r="A918" s="7" t="s">
        <v>953</v>
      </c>
      <c r="B918" s="7" t="s">
        <v>956</v>
      </c>
      <c r="C918" s="7" t="s">
        <v>36</v>
      </c>
      <c r="D918" s="7">
        <v>9</v>
      </c>
      <c r="E918" s="7">
        <v>3</v>
      </c>
      <c r="F918" s="7">
        <v>0</v>
      </c>
      <c r="G918" s="7">
        <v>14</v>
      </c>
      <c r="H918" s="7">
        <v>0</v>
      </c>
      <c r="I918" s="7">
        <v>9</v>
      </c>
      <c r="J918" s="7">
        <v>1</v>
      </c>
      <c r="K918" s="7">
        <v>0</v>
      </c>
      <c r="L918" s="7">
        <v>0</v>
      </c>
      <c r="M918" s="4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f t="shared" si="28"/>
        <v>58</v>
      </c>
      <c r="T918" s="7">
        <v>207665</v>
      </c>
      <c r="U918" s="8">
        <f t="shared" si="29"/>
        <v>0.00027929598150868</v>
      </c>
    </row>
    <row r="919" spans="1:21">
      <c r="A919" s="7" t="s">
        <v>953</v>
      </c>
      <c r="B919" s="7" t="s">
        <v>957</v>
      </c>
      <c r="C919" s="7" t="s">
        <v>33</v>
      </c>
      <c r="D919" s="7">
        <v>5</v>
      </c>
      <c r="E919" s="7">
        <v>3</v>
      </c>
      <c r="F919" s="7">
        <v>0</v>
      </c>
      <c r="G919" s="7">
        <v>5</v>
      </c>
      <c r="H919" s="7">
        <v>0</v>
      </c>
      <c r="I919" s="7">
        <v>10</v>
      </c>
      <c r="J919" s="7">
        <v>7</v>
      </c>
      <c r="K919" s="7">
        <v>0</v>
      </c>
      <c r="L919" s="7">
        <v>0</v>
      </c>
      <c r="M919" s="4">
        <v>0</v>
      </c>
      <c r="N919" s="7">
        <v>0</v>
      </c>
      <c r="O919" s="7">
        <v>0</v>
      </c>
      <c r="P919" s="7">
        <v>2</v>
      </c>
      <c r="Q919" s="7">
        <v>0</v>
      </c>
      <c r="R919" s="7">
        <v>0</v>
      </c>
      <c r="S919" s="7">
        <f t="shared" si="28"/>
        <v>59</v>
      </c>
      <c r="T919" s="7">
        <v>258680</v>
      </c>
      <c r="U919" s="8">
        <f t="shared" si="29"/>
        <v>0.000228081026751198</v>
      </c>
    </row>
    <row r="920" spans="1:21">
      <c r="A920" s="7" t="s">
        <v>953</v>
      </c>
      <c r="B920" s="7" t="s">
        <v>958</v>
      </c>
      <c r="C920" s="7" t="s">
        <v>47</v>
      </c>
      <c r="D920" s="7">
        <v>2</v>
      </c>
      <c r="E920" s="7">
        <v>0</v>
      </c>
      <c r="F920" s="7">
        <v>0</v>
      </c>
      <c r="G920" s="7">
        <v>0</v>
      </c>
      <c r="H920" s="7">
        <v>0</v>
      </c>
      <c r="I920" s="7">
        <v>1</v>
      </c>
      <c r="J920" s="7">
        <v>1</v>
      </c>
      <c r="K920" s="7">
        <v>0</v>
      </c>
      <c r="L920" s="7">
        <v>0</v>
      </c>
      <c r="M920" s="4">
        <v>0</v>
      </c>
      <c r="N920" s="7">
        <v>0</v>
      </c>
      <c r="O920" s="7">
        <v>0</v>
      </c>
      <c r="P920" s="7">
        <v>0</v>
      </c>
      <c r="Q920" s="7">
        <v>0</v>
      </c>
      <c r="R920" s="7">
        <v>1</v>
      </c>
      <c r="S920" s="7">
        <f t="shared" si="28"/>
        <v>10</v>
      </c>
      <c r="T920" s="7">
        <v>193741</v>
      </c>
      <c r="U920" s="8">
        <f t="shared" si="29"/>
        <v>5.16153008397809e-5</v>
      </c>
    </row>
    <row r="921" spans="1:21">
      <c r="A921" s="7" t="s">
        <v>953</v>
      </c>
      <c r="B921" s="7" t="s">
        <v>959</v>
      </c>
      <c r="C921" s="7" t="s">
        <v>22</v>
      </c>
      <c r="D921" s="7">
        <v>9</v>
      </c>
      <c r="E921" s="7">
        <v>2</v>
      </c>
      <c r="F921" s="7">
        <v>0</v>
      </c>
      <c r="G921" s="7">
        <v>5</v>
      </c>
      <c r="H921" s="7">
        <v>0</v>
      </c>
      <c r="I921" s="7">
        <v>4</v>
      </c>
      <c r="J921" s="7">
        <v>1</v>
      </c>
      <c r="K921" s="7">
        <v>1</v>
      </c>
      <c r="L921" s="7">
        <v>0</v>
      </c>
      <c r="M921" s="4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f t="shared" si="28"/>
        <v>39</v>
      </c>
      <c r="T921" s="7">
        <v>220409</v>
      </c>
      <c r="U921" s="8">
        <f t="shared" si="29"/>
        <v>0.000176943772713455</v>
      </c>
    </row>
    <row r="922" spans="1:21">
      <c r="A922" s="7" t="s">
        <v>953</v>
      </c>
      <c r="B922" s="7" t="s">
        <v>960</v>
      </c>
      <c r="C922" s="7" t="s">
        <v>24</v>
      </c>
      <c r="D922" s="7">
        <v>6</v>
      </c>
      <c r="E922" s="7">
        <v>4</v>
      </c>
      <c r="F922" s="7">
        <v>0</v>
      </c>
      <c r="G922" s="7">
        <v>0</v>
      </c>
      <c r="H922" s="7">
        <v>2</v>
      </c>
      <c r="I922" s="7">
        <v>4</v>
      </c>
      <c r="J922" s="7">
        <v>2</v>
      </c>
      <c r="K922" s="7">
        <v>1</v>
      </c>
      <c r="L922" s="7">
        <v>0</v>
      </c>
      <c r="M922" s="4">
        <v>0</v>
      </c>
      <c r="N922" s="7">
        <v>0</v>
      </c>
      <c r="O922" s="7">
        <v>0</v>
      </c>
      <c r="P922" s="7">
        <v>0</v>
      </c>
      <c r="Q922" s="7">
        <v>0</v>
      </c>
      <c r="R922" s="7">
        <v>2</v>
      </c>
      <c r="S922" s="7">
        <f t="shared" si="28"/>
        <v>42</v>
      </c>
      <c r="T922" s="7">
        <v>214970</v>
      </c>
      <c r="U922" s="8">
        <f t="shared" si="29"/>
        <v>0.000195376098990557</v>
      </c>
    </row>
    <row r="923" spans="1:21">
      <c r="A923" s="7" t="s">
        <v>953</v>
      </c>
      <c r="B923" s="7" t="s">
        <v>961</v>
      </c>
      <c r="C923" s="7" t="s">
        <v>43</v>
      </c>
      <c r="D923" s="7">
        <v>0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2</v>
      </c>
      <c r="K923" s="7">
        <v>0</v>
      </c>
      <c r="L923" s="7">
        <v>0</v>
      </c>
      <c r="M923" s="4">
        <v>1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f t="shared" si="28"/>
        <v>6</v>
      </c>
      <c r="T923" s="7">
        <v>274886</v>
      </c>
      <c r="U923" s="8">
        <f t="shared" si="29"/>
        <v>2.18272301972454e-5</v>
      </c>
    </row>
    <row r="924" spans="1:21">
      <c r="A924" s="7" t="s">
        <v>953</v>
      </c>
      <c r="B924" s="7" t="s">
        <v>962</v>
      </c>
      <c r="C924" s="7" t="s">
        <v>45</v>
      </c>
      <c r="D924" s="7">
        <v>0</v>
      </c>
      <c r="E924" s="7">
        <v>0</v>
      </c>
      <c r="F924" s="7">
        <v>0</v>
      </c>
      <c r="G924" s="7">
        <v>0</v>
      </c>
      <c r="H924" s="7">
        <v>0</v>
      </c>
      <c r="I924" s="7">
        <v>2</v>
      </c>
      <c r="J924" s="7">
        <v>1</v>
      </c>
      <c r="K924" s="7">
        <v>0</v>
      </c>
      <c r="L924" s="7">
        <v>0</v>
      </c>
      <c r="M924" s="4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f t="shared" si="28"/>
        <v>6</v>
      </c>
      <c r="T924" s="7">
        <v>197955</v>
      </c>
      <c r="U924" s="8">
        <f t="shared" si="29"/>
        <v>3.03099189209669e-5</v>
      </c>
    </row>
    <row r="925" spans="1:21">
      <c r="A925" s="7" t="s">
        <v>963</v>
      </c>
      <c r="B925" s="7" t="s">
        <v>964</v>
      </c>
      <c r="C925" s="7">
        <v>2022</v>
      </c>
      <c r="D925" s="7">
        <v>12</v>
      </c>
      <c r="E925" s="7">
        <v>0</v>
      </c>
      <c r="F925" s="7">
        <v>0</v>
      </c>
      <c r="G925" s="7">
        <v>24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4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f t="shared" si="28"/>
        <v>48</v>
      </c>
      <c r="T925" s="7">
        <v>34591</v>
      </c>
      <c r="U925" s="8">
        <f t="shared" si="29"/>
        <v>0.00138764418490359</v>
      </c>
    </row>
    <row r="926" spans="1:21">
      <c r="A926" s="7" t="s">
        <v>963</v>
      </c>
      <c r="B926" s="7" t="s">
        <v>965</v>
      </c>
      <c r="C926" s="7" t="s">
        <v>39</v>
      </c>
      <c r="D926" s="7">
        <v>12</v>
      </c>
      <c r="E926" s="7">
        <v>0</v>
      </c>
      <c r="F926" s="7">
        <v>0</v>
      </c>
      <c r="G926" s="7">
        <v>30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4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f t="shared" si="28"/>
        <v>54</v>
      </c>
      <c r="T926" s="7">
        <v>35787</v>
      </c>
      <c r="U926" s="8">
        <f t="shared" si="29"/>
        <v>0.00150892782295247</v>
      </c>
    </row>
    <row r="927" spans="1:21">
      <c r="A927" s="7" t="s">
        <v>963</v>
      </c>
      <c r="B927" s="7" t="s">
        <v>966</v>
      </c>
      <c r="C927" s="7" t="s">
        <v>33</v>
      </c>
      <c r="D927" s="7">
        <v>12</v>
      </c>
      <c r="E927" s="7">
        <v>1</v>
      </c>
      <c r="F927" s="7">
        <v>1</v>
      </c>
      <c r="G927" s="7">
        <v>25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4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f t="shared" si="28"/>
        <v>53</v>
      </c>
      <c r="T927" s="7">
        <v>31162</v>
      </c>
      <c r="U927" s="8">
        <f t="shared" si="29"/>
        <v>0.00170078942301521</v>
      </c>
    </row>
    <row r="928" spans="1:21">
      <c r="A928" s="7" t="s">
        <v>963</v>
      </c>
      <c r="B928" s="7" t="s">
        <v>967</v>
      </c>
      <c r="C928" s="7" t="s">
        <v>27</v>
      </c>
      <c r="D928" s="7">
        <v>0</v>
      </c>
      <c r="E928" s="7">
        <v>0</v>
      </c>
      <c r="F928" s="7">
        <v>0</v>
      </c>
      <c r="G928" s="7">
        <v>3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4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f t="shared" si="28"/>
        <v>3</v>
      </c>
      <c r="T928" s="7">
        <v>8767</v>
      </c>
      <c r="U928" s="8">
        <f t="shared" si="29"/>
        <v>0.000342192312079389</v>
      </c>
    </row>
  </sheetData>
  <autoFilter xmlns:etc="http://www.wps.cn/officeDocument/2017/etCustomData" ref="A1:U928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Moreau</dc:creator>
  <cp:lastModifiedBy>moreau</cp:lastModifiedBy>
  <dcterms:created xsi:type="dcterms:W3CDTF">2023-05-12T11:15:00Z</dcterms:created>
  <dcterms:modified xsi:type="dcterms:W3CDTF">2025-01-18T08:03:03Z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2FF556BC4A894DEDA79647AAD6BAFD41_12</vt:lpwstr>
  </property>
</Properties>
</file>